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zhenqian_huang_un_org/Documents/03 EAPD/WESP 2026/Ch2/Data/High inflation regime/"/>
    </mc:Choice>
  </mc:AlternateContent>
  <xr:revisionPtr revIDLastSave="2" documentId="8_{21085415-159D-4A79-A21C-A04C889F03D0}" xr6:coauthVersionLast="47" xr6:coauthVersionMax="47" xr10:uidLastSave="{DFA62986-173C-40BD-B27E-5ECD0B6A1592}"/>
  <bookViews>
    <workbookView xWindow="-108" yWindow="-108" windowWidth="23256" windowHeight="13896" xr2:uid="{F5B85CC5-2853-4628-8E29-81B387F09254}"/>
  </bookViews>
  <sheets>
    <sheet name="Countries" sheetId="1" r:id="rId1"/>
  </sheets>
  <definedNames>
    <definedName name="_xlnm._FilterDatabase" localSheetId="0" hidden="1">Countries!$W$1:$DT$282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2" i="1" l="1"/>
  <c r="V372" i="1"/>
  <c r="U372" i="1"/>
  <c r="T372" i="1"/>
  <c r="S372" i="1"/>
  <c r="V180" i="1"/>
  <c r="U180" i="1"/>
  <c r="T180" i="1"/>
  <c r="S180" i="1"/>
  <c r="R180" i="1"/>
  <c r="Q180" i="1"/>
  <c r="P180" i="1"/>
  <c r="O180" i="1"/>
  <c r="N180" i="1"/>
  <c r="V179" i="1"/>
  <c r="U179" i="1"/>
  <c r="T179" i="1"/>
  <c r="S179" i="1"/>
  <c r="R179" i="1"/>
  <c r="Q179" i="1"/>
  <c r="P179" i="1"/>
  <c r="O179" i="1"/>
  <c r="N179" i="1"/>
  <c r="V178" i="1"/>
  <c r="U178" i="1"/>
  <c r="T178" i="1"/>
  <c r="S178" i="1"/>
  <c r="R178" i="1"/>
  <c r="Q178" i="1"/>
  <c r="P178" i="1"/>
  <c r="O178" i="1"/>
  <c r="N178" i="1"/>
  <c r="V177" i="1"/>
  <c r="U177" i="1"/>
  <c r="T177" i="1"/>
  <c r="S177" i="1"/>
  <c r="R177" i="1"/>
  <c r="Q177" i="1"/>
  <c r="P177" i="1"/>
  <c r="O177" i="1"/>
  <c r="N177" i="1"/>
  <c r="V176" i="1"/>
  <c r="U176" i="1"/>
  <c r="T176" i="1"/>
  <c r="S176" i="1"/>
  <c r="R176" i="1"/>
  <c r="Q176" i="1"/>
  <c r="P176" i="1"/>
  <c r="O176" i="1"/>
  <c r="N176" i="1"/>
  <c r="V175" i="1"/>
  <c r="U175" i="1"/>
  <c r="T175" i="1"/>
  <c r="S175" i="1"/>
  <c r="R175" i="1"/>
  <c r="Q175" i="1"/>
  <c r="P175" i="1"/>
  <c r="O175" i="1"/>
  <c r="N175" i="1"/>
  <c r="V174" i="1"/>
  <c r="U174" i="1"/>
  <c r="T174" i="1"/>
  <c r="S174" i="1"/>
  <c r="R174" i="1"/>
  <c r="Q174" i="1"/>
  <c r="P174" i="1"/>
  <c r="O174" i="1"/>
  <c r="N174" i="1"/>
  <c r="V173" i="1"/>
  <c r="U173" i="1"/>
  <c r="T173" i="1"/>
  <c r="S173" i="1"/>
  <c r="R173" i="1"/>
  <c r="Q173" i="1"/>
  <c r="P173" i="1"/>
  <c r="O173" i="1"/>
  <c r="N173" i="1"/>
  <c r="V172" i="1"/>
  <c r="U172" i="1"/>
  <c r="T172" i="1"/>
  <c r="S172" i="1"/>
  <c r="R172" i="1"/>
  <c r="Q172" i="1"/>
  <c r="P172" i="1"/>
  <c r="O172" i="1"/>
  <c r="N172" i="1"/>
  <c r="V171" i="1"/>
  <c r="U171" i="1"/>
  <c r="T171" i="1"/>
  <c r="S171" i="1"/>
  <c r="R171" i="1"/>
  <c r="Q171" i="1"/>
  <c r="P171" i="1"/>
  <c r="O171" i="1"/>
  <c r="N171" i="1"/>
  <c r="V170" i="1"/>
  <c r="U170" i="1"/>
  <c r="T170" i="1"/>
  <c r="S170" i="1"/>
  <c r="R170" i="1"/>
  <c r="Q170" i="1"/>
  <c r="P170" i="1"/>
  <c r="O170" i="1"/>
  <c r="N170" i="1"/>
  <c r="V169" i="1"/>
  <c r="U169" i="1"/>
  <c r="T169" i="1"/>
  <c r="S169" i="1"/>
  <c r="R169" i="1"/>
  <c r="Q169" i="1"/>
  <c r="P169" i="1"/>
  <c r="O169" i="1"/>
  <c r="N169" i="1"/>
  <c r="V168" i="1"/>
  <c r="U168" i="1"/>
  <c r="T168" i="1"/>
  <c r="S168" i="1"/>
  <c r="R168" i="1"/>
  <c r="Q168" i="1"/>
  <c r="P168" i="1"/>
  <c r="O168" i="1"/>
  <c r="N168" i="1"/>
  <c r="V167" i="1"/>
  <c r="U167" i="1"/>
  <c r="T167" i="1"/>
  <c r="S167" i="1"/>
  <c r="R167" i="1"/>
  <c r="Q167" i="1"/>
  <c r="P167" i="1"/>
  <c r="O167" i="1"/>
  <c r="N167" i="1"/>
  <c r="V166" i="1"/>
  <c r="U166" i="1"/>
  <c r="T166" i="1"/>
  <c r="S166" i="1"/>
  <c r="R166" i="1"/>
  <c r="Q166" i="1"/>
  <c r="P166" i="1"/>
  <c r="O166" i="1"/>
  <c r="N166" i="1"/>
  <c r="V165" i="1"/>
  <c r="U165" i="1"/>
  <c r="T165" i="1"/>
  <c r="S165" i="1"/>
  <c r="R165" i="1"/>
  <c r="Q165" i="1"/>
  <c r="P165" i="1"/>
  <c r="O165" i="1"/>
  <c r="N165" i="1"/>
  <c r="V164" i="1"/>
  <c r="U164" i="1"/>
  <c r="T164" i="1"/>
  <c r="S164" i="1"/>
  <c r="R164" i="1"/>
  <c r="Q164" i="1"/>
  <c r="P164" i="1"/>
  <c r="O164" i="1"/>
  <c r="N164" i="1"/>
  <c r="V163" i="1"/>
  <c r="U163" i="1"/>
  <c r="T163" i="1"/>
  <c r="S163" i="1"/>
  <c r="R163" i="1"/>
  <c r="Q163" i="1"/>
  <c r="P163" i="1"/>
  <c r="O163" i="1"/>
  <c r="N163" i="1"/>
  <c r="V162" i="1"/>
  <c r="U162" i="1"/>
  <c r="T162" i="1"/>
  <c r="S162" i="1"/>
  <c r="R162" i="1"/>
  <c r="Q162" i="1"/>
  <c r="P162" i="1"/>
  <c r="O162" i="1"/>
  <c r="N162" i="1"/>
  <c r="V161" i="1"/>
  <c r="U161" i="1"/>
  <c r="T161" i="1"/>
  <c r="S161" i="1"/>
  <c r="R161" i="1"/>
  <c r="Q161" i="1"/>
  <c r="P161" i="1"/>
  <c r="O161" i="1"/>
  <c r="N161" i="1"/>
  <c r="V160" i="1"/>
  <c r="U160" i="1"/>
  <c r="T160" i="1"/>
  <c r="S160" i="1"/>
  <c r="R160" i="1"/>
  <c r="Q160" i="1"/>
  <c r="P160" i="1"/>
  <c r="O160" i="1"/>
  <c r="N160" i="1"/>
  <c r="V159" i="1"/>
  <c r="U159" i="1"/>
  <c r="T159" i="1"/>
  <c r="S159" i="1"/>
  <c r="R159" i="1"/>
  <c r="Q159" i="1"/>
  <c r="P159" i="1"/>
  <c r="O159" i="1"/>
  <c r="N159" i="1"/>
  <c r="V158" i="1"/>
  <c r="U158" i="1"/>
  <c r="T158" i="1"/>
  <c r="S158" i="1"/>
  <c r="R158" i="1"/>
  <c r="Q158" i="1"/>
  <c r="P158" i="1"/>
  <c r="O158" i="1"/>
  <c r="N158" i="1"/>
  <c r="V157" i="1"/>
  <c r="U157" i="1"/>
  <c r="T157" i="1"/>
  <c r="S157" i="1"/>
  <c r="R157" i="1"/>
  <c r="Q157" i="1"/>
  <c r="P157" i="1"/>
  <c r="O157" i="1"/>
  <c r="N157" i="1"/>
  <c r="V156" i="1"/>
  <c r="U156" i="1"/>
  <c r="T156" i="1"/>
  <c r="S156" i="1"/>
  <c r="R156" i="1"/>
  <c r="Q156" i="1"/>
  <c r="P156" i="1"/>
  <c r="O156" i="1"/>
  <c r="N156" i="1"/>
  <c r="V155" i="1"/>
  <c r="U155" i="1"/>
  <c r="T155" i="1"/>
  <c r="S155" i="1"/>
  <c r="R155" i="1"/>
  <c r="Q155" i="1"/>
  <c r="P155" i="1"/>
  <c r="O155" i="1"/>
  <c r="N155" i="1"/>
  <c r="V154" i="1"/>
  <c r="U154" i="1"/>
  <c r="T154" i="1"/>
  <c r="S154" i="1"/>
  <c r="R154" i="1"/>
  <c r="Q154" i="1"/>
  <c r="P154" i="1"/>
  <c r="O154" i="1"/>
  <c r="N154" i="1"/>
  <c r="V153" i="1"/>
  <c r="U153" i="1"/>
  <c r="T153" i="1"/>
  <c r="S153" i="1"/>
  <c r="R153" i="1"/>
  <c r="Q153" i="1"/>
  <c r="P153" i="1"/>
  <c r="O153" i="1"/>
  <c r="N153" i="1"/>
  <c r="V152" i="1"/>
  <c r="U152" i="1"/>
  <c r="T152" i="1"/>
  <c r="S152" i="1"/>
  <c r="R152" i="1"/>
  <c r="Q152" i="1"/>
  <c r="P152" i="1"/>
  <c r="O152" i="1"/>
  <c r="N152" i="1"/>
  <c r="V151" i="1"/>
  <c r="U151" i="1"/>
  <c r="T151" i="1"/>
  <c r="S151" i="1"/>
  <c r="R151" i="1"/>
  <c r="Q151" i="1"/>
  <c r="P151" i="1"/>
  <c r="O151" i="1"/>
  <c r="N151" i="1"/>
  <c r="V150" i="1"/>
  <c r="U150" i="1"/>
  <c r="T150" i="1"/>
  <c r="S150" i="1"/>
  <c r="R150" i="1"/>
  <c r="Q150" i="1"/>
  <c r="P150" i="1"/>
  <c r="O150" i="1"/>
  <c r="N150" i="1"/>
  <c r="V149" i="1"/>
  <c r="U149" i="1"/>
  <c r="T149" i="1"/>
  <c r="S149" i="1"/>
  <c r="R149" i="1"/>
  <c r="Q149" i="1"/>
  <c r="P149" i="1"/>
  <c r="O149" i="1"/>
  <c r="N149" i="1"/>
  <c r="V148" i="1"/>
  <c r="U148" i="1"/>
  <c r="T148" i="1"/>
  <c r="S148" i="1"/>
  <c r="R148" i="1"/>
  <c r="Q148" i="1"/>
  <c r="P148" i="1"/>
  <c r="O148" i="1"/>
  <c r="N148" i="1"/>
  <c r="V147" i="1"/>
  <c r="U147" i="1"/>
  <c r="T147" i="1"/>
  <c r="S147" i="1"/>
  <c r="R147" i="1"/>
  <c r="Q147" i="1"/>
  <c r="P147" i="1"/>
  <c r="O147" i="1"/>
  <c r="N147" i="1"/>
  <c r="V146" i="1"/>
  <c r="U146" i="1"/>
  <c r="T146" i="1"/>
  <c r="S146" i="1"/>
  <c r="R146" i="1"/>
  <c r="Q146" i="1"/>
  <c r="P146" i="1"/>
  <c r="O146" i="1"/>
  <c r="N146" i="1"/>
  <c r="V145" i="1"/>
  <c r="U145" i="1"/>
  <c r="T145" i="1"/>
  <c r="S145" i="1"/>
  <c r="R145" i="1"/>
  <c r="Q145" i="1"/>
  <c r="P145" i="1"/>
  <c r="O145" i="1"/>
  <c r="N145" i="1"/>
  <c r="V144" i="1"/>
  <c r="U144" i="1"/>
  <c r="T144" i="1"/>
  <c r="S144" i="1"/>
  <c r="R144" i="1"/>
  <c r="Q144" i="1"/>
  <c r="P144" i="1"/>
  <c r="O144" i="1"/>
  <c r="N144" i="1"/>
  <c r="V143" i="1"/>
  <c r="U143" i="1"/>
  <c r="T143" i="1"/>
  <c r="S143" i="1"/>
  <c r="R143" i="1"/>
  <c r="Q143" i="1"/>
  <c r="P143" i="1"/>
  <c r="O143" i="1"/>
  <c r="N143" i="1"/>
  <c r="V142" i="1"/>
  <c r="U142" i="1"/>
  <c r="T142" i="1"/>
  <c r="S142" i="1"/>
  <c r="R142" i="1"/>
  <c r="Q142" i="1"/>
  <c r="P142" i="1"/>
  <c r="O142" i="1"/>
  <c r="N142" i="1"/>
  <c r="V141" i="1"/>
  <c r="U141" i="1"/>
  <c r="T141" i="1"/>
  <c r="S141" i="1"/>
  <c r="R141" i="1"/>
  <c r="Q141" i="1"/>
  <c r="P141" i="1"/>
  <c r="O141" i="1"/>
  <c r="N141" i="1"/>
  <c r="V140" i="1"/>
  <c r="U140" i="1"/>
  <c r="T140" i="1"/>
  <c r="S140" i="1"/>
  <c r="R140" i="1"/>
  <c r="Q140" i="1"/>
  <c r="P140" i="1"/>
  <c r="O140" i="1"/>
  <c r="N140" i="1"/>
  <c r="V139" i="1"/>
  <c r="U139" i="1"/>
  <c r="T139" i="1"/>
  <c r="S139" i="1"/>
  <c r="R139" i="1"/>
  <c r="Q139" i="1"/>
  <c r="P139" i="1"/>
  <c r="O139" i="1"/>
  <c r="N139" i="1"/>
  <c r="V138" i="1"/>
  <c r="U138" i="1"/>
  <c r="T138" i="1"/>
  <c r="S138" i="1"/>
  <c r="R138" i="1"/>
  <c r="Q138" i="1"/>
  <c r="P138" i="1"/>
  <c r="O138" i="1"/>
  <c r="N138" i="1"/>
  <c r="V137" i="1"/>
  <c r="U137" i="1"/>
  <c r="T137" i="1"/>
  <c r="S137" i="1"/>
  <c r="R137" i="1"/>
  <c r="Q137" i="1"/>
  <c r="P137" i="1"/>
  <c r="O137" i="1"/>
  <c r="N137" i="1"/>
  <c r="V136" i="1"/>
  <c r="U136" i="1"/>
  <c r="T136" i="1"/>
  <c r="S136" i="1"/>
  <c r="R136" i="1"/>
  <c r="Q136" i="1"/>
  <c r="P136" i="1"/>
  <c r="O136" i="1"/>
  <c r="N136" i="1"/>
  <c r="V135" i="1"/>
  <c r="U135" i="1"/>
  <c r="T135" i="1"/>
  <c r="S135" i="1"/>
  <c r="R135" i="1"/>
  <c r="Q135" i="1"/>
  <c r="P135" i="1"/>
  <c r="O135" i="1"/>
  <c r="N135" i="1"/>
  <c r="V134" i="1"/>
  <c r="U134" i="1"/>
  <c r="T134" i="1"/>
  <c r="S134" i="1"/>
  <c r="R134" i="1"/>
  <c r="Q134" i="1"/>
  <c r="P134" i="1"/>
  <c r="O134" i="1"/>
  <c r="N134" i="1"/>
  <c r="V133" i="1"/>
  <c r="U133" i="1"/>
  <c r="T133" i="1"/>
  <c r="S133" i="1"/>
  <c r="R133" i="1"/>
  <c r="Q133" i="1"/>
  <c r="P133" i="1"/>
  <c r="O133" i="1"/>
  <c r="N133" i="1"/>
  <c r="V132" i="1"/>
  <c r="U132" i="1"/>
  <c r="T132" i="1"/>
  <c r="S132" i="1"/>
  <c r="R132" i="1"/>
  <c r="Q132" i="1"/>
  <c r="P132" i="1"/>
  <c r="O132" i="1"/>
  <c r="N132" i="1"/>
  <c r="V131" i="1"/>
  <c r="U131" i="1"/>
  <c r="T131" i="1"/>
  <c r="S131" i="1"/>
  <c r="R131" i="1"/>
  <c r="Q131" i="1"/>
  <c r="P131" i="1"/>
  <c r="O131" i="1"/>
  <c r="N131" i="1"/>
  <c r="V130" i="1"/>
  <c r="U130" i="1"/>
  <c r="T130" i="1"/>
  <c r="S130" i="1"/>
  <c r="R130" i="1"/>
  <c r="Q130" i="1"/>
  <c r="P130" i="1"/>
  <c r="O130" i="1"/>
  <c r="N130" i="1"/>
  <c r="V129" i="1"/>
  <c r="U129" i="1"/>
  <c r="T129" i="1"/>
  <c r="S129" i="1"/>
  <c r="R129" i="1"/>
  <c r="Q129" i="1"/>
  <c r="P129" i="1"/>
  <c r="O129" i="1"/>
  <c r="N129" i="1"/>
  <c r="V128" i="1"/>
  <c r="U128" i="1"/>
  <c r="T128" i="1"/>
  <c r="S128" i="1"/>
  <c r="R128" i="1"/>
  <c r="Q128" i="1"/>
  <c r="P128" i="1"/>
  <c r="O128" i="1"/>
  <c r="N128" i="1"/>
  <c r="V127" i="1"/>
  <c r="U127" i="1"/>
  <c r="T127" i="1"/>
  <c r="S127" i="1"/>
  <c r="R127" i="1"/>
  <c r="Q127" i="1"/>
  <c r="P127" i="1"/>
  <c r="O127" i="1"/>
  <c r="N127" i="1"/>
  <c r="V126" i="1"/>
  <c r="U126" i="1"/>
  <c r="T126" i="1"/>
  <c r="S126" i="1"/>
  <c r="R126" i="1"/>
  <c r="Q126" i="1"/>
  <c r="P126" i="1"/>
  <c r="O126" i="1"/>
  <c r="N126" i="1"/>
  <c r="V125" i="1"/>
  <c r="U125" i="1"/>
  <c r="T125" i="1"/>
  <c r="S125" i="1"/>
  <c r="R125" i="1"/>
  <c r="Q125" i="1"/>
  <c r="P125" i="1"/>
  <c r="O125" i="1"/>
  <c r="N125" i="1"/>
  <c r="V124" i="1"/>
  <c r="U124" i="1"/>
  <c r="T124" i="1"/>
  <c r="S124" i="1"/>
  <c r="R124" i="1"/>
  <c r="Q124" i="1"/>
  <c r="P124" i="1"/>
  <c r="O124" i="1"/>
  <c r="N124" i="1"/>
  <c r="V123" i="1"/>
  <c r="U123" i="1"/>
  <c r="T123" i="1"/>
  <c r="S123" i="1"/>
  <c r="R123" i="1"/>
  <c r="Q123" i="1"/>
  <c r="P123" i="1"/>
  <c r="O123" i="1"/>
  <c r="N123" i="1"/>
  <c r="V122" i="1"/>
  <c r="U122" i="1"/>
  <c r="T122" i="1"/>
  <c r="S122" i="1"/>
  <c r="R122" i="1"/>
  <c r="Q122" i="1"/>
  <c r="P122" i="1"/>
  <c r="O122" i="1"/>
  <c r="N122" i="1"/>
  <c r="V121" i="1"/>
  <c r="U121" i="1"/>
  <c r="T121" i="1"/>
  <c r="S121" i="1"/>
  <c r="R121" i="1"/>
  <c r="Q121" i="1"/>
  <c r="P121" i="1"/>
  <c r="O121" i="1"/>
  <c r="N121" i="1"/>
  <c r="V120" i="1"/>
  <c r="U120" i="1"/>
  <c r="T120" i="1"/>
  <c r="S120" i="1"/>
  <c r="R120" i="1"/>
  <c r="Q120" i="1"/>
  <c r="P120" i="1"/>
  <c r="O120" i="1"/>
  <c r="N120" i="1"/>
  <c r="V119" i="1"/>
  <c r="U119" i="1"/>
  <c r="T119" i="1"/>
  <c r="S119" i="1"/>
  <c r="R119" i="1"/>
  <c r="Q119" i="1"/>
  <c r="P119" i="1"/>
  <c r="O119" i="1"/>
  <c r="N119" i="1"/>
  <c r="V118" i="1"/>
  <c r="U118" i="1"/>
  <c r="T118" i="1"/>
  <c r="S118" i="1"/>
  <c r="R118" i="1"/>
  <c r="Q118" i="1"/>
  <c r="P118" i="1"/>
  <c r="O118" i="1"/>
  <c r="N118" i="1"/>
  <c r="V117" i="1"/>
  <c r="U117" i="1"/>
  <c r="T117" i="1"/>
  <c r="S117" i="1"/>
  <c r="R117" i="1"/>
  <c r="Q117" i="1"/>
  <c r="P117" i="1"/>
  <c r="O117" i="1"/>
  <c r="N117" i="1"/>
  <c r="V116" i="1"/>
  <c r="U116" i="1"/>
  <c r="T116" i="1"/>
  <c r="S116" i="1"/>
  <c r="R116" i="1"/>
  <c r="Q116" i="1"/>
  <c r="P116" i="1"/>
  <c r="O116" i="1"/>
  <c r="N116" i="1"/>
  <c r="V115" i="1"/>
  <c r="U115" i="1"/>
  <c r="T115" i="1"/>
  <c r="S115" i="1"/>
  <c r="R115" i="1"/>
  <c r="Q115" i="1"/>
  <c r="P115" i="1"/>
  <c r="O115" i="1"/>
  <c r="N115" i="1"/>
  <c r="V114" i="1"/>
  <c r="U114" i="1"/>
  <c r="T114" i="1"/>
  <c r="S114" i="1"/>
  <c r="R114" i="1"/>
  <c r="Q114" i="1"/>
  <c r="P114" i="1"/>
  <c r="O114" i="1"/>
  <c r="N114" i="1"/>
  <c r="V113" i="1"/>
  <c r="U113" i="1"/>
  <c r="T113" i="1"/>
  <c r="S113" i="1"/>
  <c r="R113" i="1"/>
  <c r="Q113" i="1"/>
  <c r="P113" i="1"/>
  <c r="O113" i="1"/>
  <c r="N113" i="1"/>
  <c r="V112" i="1"/>
  <c r="U112" i="1"/>
  <c r="T112" i="1"/>
  <c r="S112" i="1"/>
  <c r="R112" i="1"/>
  <c r="Q112" i="1"/>
  <c r="P112" i="1"/>
  <c r="O112" i="1"/>
  <c r="N112" i="1"/>
  <c r="V111" i="1"/>
  <c r="U111" i="1"/>
  <c r="T111" i="1"/>
  <c r="S111" i="1"/>
  <c r="R111" i="1"/>
  <c r="Q111" i="1"/>
  <c r="P111" i="1"/>
  <c r="O111" i="1"/>
  <c r="N111" i="1"/>
  <c r="V110" i="1"/>
  <c r="U110" i="1"/>
  <c r="T110" i="1"/>
  <c r="S110" i="1"/>
  <c r="R110" i="1"/>
  <c r="Q110" i="1"/>
  <c r="P110" i="1"/>
  <c r="O110" i="1"/>
  <c r="N110" i="1"/>
  <c r="V109" i="1"/>
  <c r="U109" i="1"/>
  <c r="T109" i="1"/>
  <c r="S109" i="1"/>
  <c r="R109" i="1"/>
  <c r="Q109" i="1"/>
  <c r="P109" i="1"/>
  <c r="O109" i="1"/>
  <c r="N109" i="1"/>
  <c r="V108" i="1"/>
  <c r="U108" i="1"/>
  <c r="T108" i="1"/>
  <c r="S108" i="1"/>
  <c r="R108" i="1"/>
  <c r="Q108" i="1"/>
  <c r="P108" i="1"/>
  <c r="O108" i="1"/>
  <c r="N108" i="1"/>
  <c r="V107" i="1"/>
  <c r="U107" i="1"/>
  <c r="T107" i="1"/>
  <c r="S107" i="1"/>
  <c r="R107" i="1"/>
  <c r="Q107" i="1"/>
  <c r="P107" i="1"/>
  <c r="O107" i="1"/>
  <c r="N107" i="1"/>
  <c r="V106" i="1"/>
  <c r="U106" i="1"/>
  <c r="T106" i="1"/>
  <c r="S106" i="1"/>
  <c r="R106" i="1"/>
  <c r="Q106" i="1"/>
  <c r="P106" i="1"/>
  <c r="O106" i="1"/>
  <c r="N106" i="1"/>
  <c r="V105" i="1"/>
  <c r="U105" i="1"/>
  <c r="T105" i="1"/>
  <c r="S105" i="1"/>
  <c r="R105" i="1"/>
  <c r="Q105" i="1"/>
  <c r="P105" i="1"/>
  <c r="O105" i="1"/>
  <c r="N105" i="1"/>
  <c r="V104" i="1"/>
  <c r="U104" i="1"/>
  <c r="T104" i="1"/>
  <c r="S104" i="1"/>
  <c r="R104" i="1"/>
  <c r="Q104" i="1"/>
  <c r="P104" i="1"/>
  <c r="O104" i="1"/>
  <c r="N104" i="1"/>
  <c r="V103" i="1"/>
  <c r="U103" i="1"/>
  <c r="T103" i="1"/>
  <c r="S103" i="1"/>
  <c r="R103" i="1"/>
  <c r="Q103" i="1"/>
  <c r="P103" i="1"/>
  <c r="O103" i="1"/>
  <c r="N103" i="1"/>
  <c r="V102" i="1"/>
  <c r="U102" i="1"/>
  <c r="T102" i="1"/>
  <c r="S102" i="1"/>
  <c r="R102" i="1"/>
  <c r="Q102" i="1"/>
  <c r="P102" i="1"/>
  <c r="O102" i="1"/>
  <c r="N102" i="1"/>
  <c r="V101" i="1"/>
  <c r="U101" i="1"/>
  <c r="T101" i="1"/>
  <c r="S101" i="1"/>
  <c r="R101" i="1"/>
  <c r="Q101" i="1"/>
  <c r="P101" i="1"/>
  <c r="O101" i="1"/>
  <c r="N101" i="1"/>
  <c r="V100" i="1"/>
  <c r="U100" i="1"/>
  <c r="T100" i="1"/>
  <c r="S100" i="1"/>
  <c r="R100" i="1"/>
  <c r="Q100" i="1"/>
  <c r="P100" i="1"/>
  <c r="O100" i="1"/>
  <c r="N100" i="1"/>
  <c r="V99" i="1"/>
  <c r="U99" i="1"/>
  <c r="T99" i="1"/>
  <c r="S99" i="1"/>
  <c r="R99" i="1"/>
  <c r="Q99" i="1"/>
  <c r="P99" i="1"/>
  <c r="O99" i="1"/>
  <c r="N99" i="1"/>
  <c r="V98" i="1"/>
  <c r="U98" i="1"/>
  <c r="T98" i="1"/>
  <c r="S98" i="1"/>
  <c r="R98" i="1"/>
  <c r="Q98" i="1"/>
  <c r="P98" i="1"/>
  <c r="O98" i="1"/>
  <c r="N98" i="1"/>
  <c r="V97" i="1"/>
  <c r="U97" i="1"/>
  <c r="T97" i="1"/>
  <c r="S97" i="1"/>
  <c r="R97" i="1"/>
  <c r="Q97" i="1"/>
  <c r="P97" i="1"/>
  <c r="O97" i="1"/>
  <c r="N97" i="1"/>
  <c r="V96" i="1"/>
  <c r="U96" i="1"/>
  <c r="T96" i="1"/>
  <c r="S96" i="1"/>
  <c r="R96" i="1"/>
  <c r="Q96" i="1"/>
  <c r="P96" i="1"/>
  <c r="O96" i="1"/>
  <c r="N96" i="1"/>
  <c r="V95" i="1"/>
  <c r="U95" i="1"/>
  <c r="T95" i="1"/>
  <c r="S95" i="1"/>
  <c r="R95" i="1"/>
  <c r="Q95" i="1"/>
  <c r="P95" i="1"/>
  <c r="O95" i="1"/>
  <c r="N95" i="1"/>
  <c r="V94" i="1"/>
  <c r="U94" i="1"/>
  <c r="T94" i="1"/>
  <c r="S94" i="1"/>
  <c r="R94" i="1"/>
  <c r="Q94" i="1"/>
  <c r="P94" i="1"/>
  <c r="O94" i="1"/>
  <c r="N94" i="1"/>
  <c r="V93" i="1"/>
  <c r="U93" i="1"/>
  <c r="T93" i="1"/>
  <c r="S93" i="1"/>
  <c r="R93" i="1"/>
  <c r="Q93" i="1"/>
  <c r="P93" i="1"/>
  <c r="O93" i="1"/>
  <c r="N93" i="1"/>
  <c r="V92" i="1"/>
  <c r="U92" i="1"/>
  <c r="T92" i="1"/>
  <c r="S92" i="1"/>
  <c r="R92" i="1"/>
  <c r="Q92" i="1"/>
  <c r="P92" i="1"/>
  <c r="O92" i="1"/>
  <c r="N92" i="1"/>
  <c r="V91" i="1"/>
  <c r="U91" i="1"/>
  <c r="T91" i="1"/>
  <c r="S91" i="1"/>
  <c r="R91" i="1"/>
  <c r="Q91" i="1"/>
  <c r="P91" i="1"/>
  <c r="O91" i="1"/>
  <c r="N91" i="1"/>
  <c r="V90" i="1"/>
  <c r="U90" i="1"/>
  <c r="T90" i="1"/>
  <c r="S90" i="1"/>
  <c r="R90" i="1"/>
  <c r="Q90" i="1"/>
  <c r="P90" i="1"/>
  <c r="O90" i="1"/>
  <c r="N90" i="1"/>
  <c r="V89" i="1"/>
  <c r="U89" i="1"/>
  <c r="T89" i="1"/>
  <c r="S89" i="1"/>
  <c r="R89" i="1"/>
  <c r="Q89" i="1"/>
  <c r="P89" i="1"/>
  <c r="O89" i="1"/>
  <c r="N89" i="1"/>
  <c r="V88" i="1"/>
  <c r="U88" i="1"/>
  <c r="T88" i="1"/>
  <c r="S88" i="1"/>
  <c r="R88" i="1"/>
  <c r="Q88" i="1"/>
  <c r="P88" i="1"/>
  <c r="O88" i="1"/>
  <c r="N88" i="1"/>
  <c r="V87" i="1"/>
  <c r="U87" i="1"/>
  <c r="T87" i="1"/>
  <c r="S87" i="1"/>
  <c r="R87" i="1"/>
  <c r="Q87" i="1"/>
  <c r="P87" i="1"/>
  <c r="O87" i="1"/>
  <c r="N87" i="1"/>
  <c r="V86" i="1"/>
  <c r="U86" i="1"/>
  <c r="T86" i="1"/>
  <c r="S86" i="1"/>
  <c r="R86" i="1"/>
  <c r="Q86" i="1"/>
  <c r="P86" i="1"/>
  <c r="O86" i="1"/>
  <c r="N86" i="1"/>
  <c r="V85" i="1"/>
  <c r="U85" i="1"/>
  <c r="T85" i="1"/>
  <c r="S85" i="1"/>
  <c r="R85" i="1"/>
  <c r="Q85" i="1"/>
  <c r="P85" i="1"/>
  <c r="O85" i="1"/>
  <c r="N85" i="1"/>
  <c r="V84" i="1"/>
  <c r="U84" i="1"/>
  <c r="T84" i="1"/>
  <c r="S84" i="1"/>
  <c r="R84" i="1"/>
  <c r="Q84" i="1"/>
  <c r="P84" i="1"/>
  <c r="O84" i="1"/>
  <c r="N84" i="1"/>
  <c r="V83" i="1"/>
  <c r="U83" i="1"/>
  <c r="T83" i="1"/>
  <c r="S83" i="1"/>
  <c r="R83" i="1"/>
  <c r="Q83" i="1"/>
  <c r="P83" i="1"/>
  <c r="O83" i="1"/>
  <c r="N83" i="1"/>
  <c r="V82" i="1"/>
  <c r="U82" i="1"/>
  <c r="T82" i="1"/>
  <c r="S82" i="1"/>
  <c r="R82" i="1"/>
  <c r="Q82" i="1"/>
  <c r="P82" i="1"/>
  <c r="O82" i="1"/>
  <c r="N82" i="1"/>
  <c r="V81" i="1"/>
  <c r="U81" i="1"/>
  <c r="T81" i="1"/>
  <c r="S81" i="1"/>
  <c r="R81" i="1"/>
  <c r="Q81" i="1"/>
  <c r="P81" i="1"/>
  <c r="O81" i="1"/>
  <c r="N81" i="1"/>
  <c r="V80" i="1"/>
  <c r="U80" i="1"/>
  <c r="T80" i="1"/>
  <c r="S80" i="1"/>
  <c r="R80" i="1"/>
  <c r="Q80" i="1"/>
  <c r="P80" i="1"/>
  <c r="O80" i="1"/>
  <c r="N80" i="1"/>
  <c r="V79" i="1"/>
  <c r="U79" i="1"/>
  <c r="T79" i="1"/>
  <c r="S79" i="1"/>
  <c r="R79" i="1"/>
  <c r="Q79" i="1"/>
  <c r="P79" i="1"/>
  <c r="O79" i="1"/>
  <c r="N79" i="1"/>
  <c r="V78" i="1"/>
  <c r="U78" i="1"/>
  <c r="T78" i="1"/>
  <c r="S78" i="1"/>
  <c r="R78" i="1"/>
  <c r="Q78" i="1"/>
  <c r="P78" i="1"/>
  <c r="O78" i="1"/>
  <c r="N78" i="1"/>
  <c r="V77" i="1"/>
  <c r="U77" i="1"/>
  <c r="T77" i="1"/>
  <c r="S77" i="1"/>
  <c r="R77" i="1"/>
  <c r="Q77" i="1"/>
  <c r="P77" i="1"/>
  <c r="O77" i="1"/>
  <c r="N77" i="1"/>
  <c r="V76" i="1"/>
  <c r="U76" i="1"/>
  <c r="T76" i="1"/>
  <c r="S76" i="1"/>
  <c r="R76" i="1"/>
  <c r="Q76" i="1"/>
  <c r="P76" i="1"/>
  <c r="O76" i="1"/>
  <c r="N76" i="1"/>
  <c r="V75" i="1"/>
  <c r="U75" i="1"/>
  <c r="T75" i="1"/>
  <c r="S75" i="1"/>
  <c r="R75" i="1"/>
  <c r="Q75" i="1"/>
  <c r="P75" i="1"/>
  <c r="O75" i="1"/>
  <c r="N75" i="1"/>
  <c r="V74" i="1"/>
  <c r="U74" i="1"/>
  <c r="T74" i="1"/>
  <c r="S74" i="1"/>
  <c r="R74" i="1"/>
  <c r="Q74" i="1"/>
  <c r="P74" i="1"/>
  <c r="O74" i="1"/>
  <c r="N74" i="1"/>
  <c r="V73" i="1"/>
  <c r="U73" i="1"/>
  <c r="T73" i="1"/>
  <c r="S73" i="1"/>
  <c r="R73" i="1"/>
  <c r="Q73" i="1"/>
  <c r="P73" i="1"/>
  <c r="O73" i="1"/>
  <c r="N73" i="1"/>
  <c r="V72" i="1"/>
  <c r="U72" i="1"/>
  <c r="T72" i="1"/>
  <c r="S72" i="1"/>
  <c r="R72" i="1"/>
  <c r="Q72" i="1"/>
  <c r="P72" i="1"/>
  <c r="O72" i="1"/>
  <c r="N72" i="1"/>
  <c r="V71" i="1"/>
  <c r="U71" i="1"/>
  <c r="T71" i="1"/>
  <c r="S71" i="1"/>
  <c r="R71" i="1"/>
  <c r="Q71" i="1"/>
  <c r="P71" i="1"/>
  <c r="O71" i="1"/>
  <c r="N71" i="1"/>
  <c r="V70" i="1"/>
  <c r="U70" i="1"/>
  <c r="T70" i="1"/>
  <c r="S70" i="1"/>
  <c r="R70" i="1"/>
  <c r="Q70" i="1"/>
  <c r="P70" i="1"/>
  <c r="O70" i="1"/>
  <c r="N70" i="1"/>
  <c r="V69" i="1"/>
  <c r="U69" i="1"/>
  <c r="T69" i="1"/>
  <c r="S69" i="1"/>
  <c r="R69" i="1"/>
  <c r="Q69" i="1"/>
  <c r="P69" i="1"/>
  <c r="O69" i="1"/>
  <c r="N69" i="1"/>
  <c r="V68" i="1"/>
  <c r="U68" i="1"/>
  <c r="T68" i="1"/>
  <c r="S68" i="1"/>
  <c r="R68" i="1"/>
  <c r="Q68" i="1"/>
  <c r="P68" i="1"/>
  <c r="O68" i="1"/>
  <c r="N68" i="1"/>
  <c r="V67" i="1"/>
  <c r="U67" i="1"/>
  <c r="T67" i="1"/>
  <c r="S67" i="1"/>
  <c r="R67" i="1"/>
  <c r="Q67" i="1"/>
  <c r="P67" i="1"/>
  <c r="O67" i="1"/>
  <c r="N67" i="1"/>
  <c r="V66" i="1"/>
  <c r="U66" i="1"/>
  <c r="T66" i="1"/>
  <c r="S66" i="1"/>
  <c r="R66" i="1"/>
  <c r="Q66" i="1"/>
  <c r="P66" i="1"/>
  <c r="O66" i="1"/>
  <c r="N66" i="1"/>
  <c r="V65" i="1"/>
  <c r="U65" i="1"/>
  <c r="T65" i="1"/>
  <c r="S65" i="1"/>
  <c r="R65" i="1"/>
  <c r="Q65" i="1"/>
  <c r="P65" i="1"/>
  <c r="O65" i="1"/>
  <c r="N65" i="1"/>
  <c r="V64" i="1"/>
  <c r="U64" i="1"/>
  <c r="T64" i="1"/>
  <c r="S64" i="1"/>
  <c r="R64" i="1"/>
  <c r="Q64" i="1"/>
  <c r="P64" i="1"/>
  <c r="O64" i="1"/>
  <c r="N64" i="1"/>
  <c r="V63" i="1"/>
  <c r="U63" i="1"/>
  <c r="T63" i="1"/>
  <c r="S63" i="1"/>
  <c r="R63" i="1"/>
  <c r="Q63" i="1"/>
  <c r="P63" i="1"/>
  <c r="O63" i="1"/>
  <c r="N63" i="1"/>
  <c r="V62" i="1"/>
  <c r="U62" i="1"/>
  <c r="T62" i="1"/>
  <c r="S62" i="1"/>
  <c r="R62" i="1"/>
  <c r="Q62" i="1"/>
  <c r="P62" i="1"/>
  <c r="O62" i="1"/>
  <c r="N62" i="1"/>
  <c r="V61" i="1"/>
  <c r="U61" i="1"/>
  <c r="T61" i="1"/>
  <c r="S61" i="1"/>
  <c r="R61" i="1"/>
  <c r="Q61" i="1"/>
  <c r="P61" i="1"/>
  <c r="O61" i="1"/>
  <c r="N61" i="1"/>
  <c r="V60" i="1"/>
  <c r="U60" i="1"/>
  <c r="T60" i="1"/>
  <c r="S60" i="1"/>
  <c r="R60" i="1"/>
  <c r="Q60" i="1"/>
  <c r="P60" i="1"/>
  <c r="O60" i="1"/>
  <c r="N60" i="1"/>
  <c r="V59" i="1"/>
  <c r="U59" i="1"/>
  <c r="T59" i="1"/>
  <c r="S59" i="1"/>
  <c r="R59" i="1"/>
  <c r="Q59" i="1"/>
  <c r="P59" i="1"/>
  <c r="O59" i="1"/>
  <c r="N59" i="1"/>
  <c r="V58" i="1"/>
  <c r="U58" i="1"/>
  <c r="T58" i="1"/>
  <c r="S58" i="1"/>
  <c r="R58" i="1"/>
  <c r="Q58" i="1"/>
  <c r="P58" i="1"/>
  <c r="O58" i="1"/>
  <c r="N58" i="1"/>
  <c r="V57" i="1"/>
  <c r="U57" i="1"/>
  <c r="T57" i="1"/>
  <c r="S57" i="1"/>
  <c r="R57" i="1"/>
  <c r="Q57" i="1"/>
  <c r="P57" i="1"/>
  <c r="O57" i="1"/>
  <c r="N57" i="1"/>
  <c r="V56" i="1"/>
  <c r="U56" i="1"/>
  <c r="T56" i="1"/>
  <c r="S56" i="1"/>
  <c r="R56" i="1"/>
  <c r="Q56" i="1"/>
  <c r="P56" i="1"/>
  <c r="O56" i="1"/>
  <c r="N56" i="1"/>
  <c r="V55" i="1"/>
  <c r="U55" i="1"/>
  <c r="T55" i="1"/>
  <c r="S55" i="1"/>
  <c r="R55" i="1"/>
  <c r="Q55" i="1"/>
  <c r="P55" i="1"/>
  <c r="O55" i="1"/>
  <c r="N55" i="1"/>
  <c r="V54" i="1"/>
  <c r="U54" i="1"/>
  <c r="T54" i="1"/>
  <c r="S54" i="1"/>
  <c r="R54" i="1"/>
  <c r="Q54" i="1"/>
  <c r="P54" i="1"/>
  <c r="O54" i="1"/>
  <c r="N54" i="1"/>
  <c r="V53" i="1"/>
  <c r="U53" i="1"/>
  <c r="T53" i="1"/>
  <c r="S53" i="1"/>
  <c r="R53" i="1"/>
  <c r="Q53" i="1"/>
  <c r="P53" i="1"/>
  <c r="O53" i="1"/>
  <c r="N53" i="1"/>
  <c r="V52" i="1"/>
  <c r="U52" i="1"/>
  <c r="T52" i="1"/>
  <c r="S52" i="1"/>
  <c r="R52" i="1"/>
  <c r="Q52" i="1"/>
  <c r="P52" i="1"/>
  <c r="O52" i="1"/>
  <c r="N52" i="1"/>
  <c r="V51" i="1"/>
  <c r="U51" i="1"/>
  <c r="T51" i="1"/>
  <c r="S51" i="1"/>
  <c r="R51" i="1"/>
  <c r="Q51" i="1"/>
  <c r="P51" i="1"/>
  <c r="O51" i="1"/>
  <c r="N51" i="1"/>
  <c r="V50" i="1"/>
  <c r="U50" i="1"/>
  <c r="T50" i="1"/>
  <c r="S50" i="1"/>
  <c r="R50" i="1"/>
  <c r="Q50" i="1"/>
  <c r="P50" i="1"/>
  <c r="O50" i="1"/>
  <c r="N50" i="1"/>
  <c r="V49" i="1"/>
  <c r="U49" i="1"/>
  <c r="T49" i="1"/>
  <c r="S49" i="1"/>
  <c r="R49" i="1"/>
  <c r="Q49" i="1"/>
  <c r="P49" i="1"/>
  <c r="O49" i="1"/>
  <c r="N49" i="1"/>
  <c r="V48" i="1"/>
  <c r="U48" i="1"/>
  <c r="T48" i="1"/>
  <c r="S48" i="1"/>
  <c r="R48" i="1"/>
  <c r="Q48" i="1"/>
  <c r="P48" i="1"/>
  <c r="O48" i="1"/>
  <c r="N48" i="1"/>
  <c r="V47" i="1"/>
  <c r="U47" i="1"/>
  <c r="T47" i="1"/>
  <c r="S47" i="1"/>
  <c r="R47" i="1"/>
  <c r="Q47" i="1"/>
  <c r="P47" i="1"/>
  <c r="O47" i="1"/>
  <c r="N47" i="1"/>
  <c r="V46" i="1"/>
  <c r="U46" i="1"/>
  <c r="T46" i="1"/>
  <c r="S46" i="1"/>
  <c r="R46" i="1"/>
  <c r="Q46" i="1"/>
  <c r="P46" i="1"/>
  <c r="O46" i="1"/>
  <c r="N46" i="1"/>
  <c r="V45" i="1"/>
  <c r="U45" i="1"/>
  <c r="T45" i="1"/>
  <c r="S45" i="1"/>
  <c r="R45" i="1"/>
  <c r="Q45" i="1"/>
  <c r="P45" i="1"/>
  <c r="O45" i="1"/>
  <c r="N45" i="1"/>
  <c r="V44" i="1"/>
  <c r="U44" i="1"/>
  <c r="T44" i="1"/>
  <c r="S44" i="1"/>
  <c r="R44" i="1"/>
  <c r="Q44" i="1"/>
  <c r="P44" i="1"/>
  <c r="O44" i="1"/>
  <c r="N44" i="1"/>
  <c r="V43" i="1"/>
  <c r="U43" i="1"/>
  <c r="T43" i="1"/>
  <c r="S43" i="1"/>
  <c r="R43" i="1"/>
  <c r="Q43" i="1"/>
  <c r="P43" i="1"/>
  <c r="O43" i="1"/>
  <c r="N43" i="1"/>
  <c r="V42" i="1"/>
  <c r="U42" i="1"/>
  <c r="T42" i="1"/>
  <c r="S42" i="1"/>
  <c r="R42" i="1"/>
  <c r="Q42" i="1"/>
  <c r="P42" i="1"/>
  <c r="O42" i="1"/>
  <c r="N42" i="1"/>
  <c r="V41" i="1"/>
  <c r="U41" i="1"/>
  <c r="T41" i="1"/>
  <c r="S41" i="1"/>
  <c r="R41" i="1"/>
  <c r="Q41" i="1"/>
  <c r="P41" i="1"/>
  <c r="O41" i="1"/>
  <c r="N41" i="1"/>
  <c r="V40" i="1"/>
  <c r="U40" i="1"/>
  <c r="T40" i="1"/>
  <c r="S40" i="1"/>
  <c r="R40" i="1"/>
  <c r="Q40" i="1"/>
  <c r="P40" i="1"/>
  <c r="O40" i="1"/>
  <c r="N40" i="1"/>
  <c r="V39" i="1"/>
  <c r="U39" i="1"/>
  <c r="T39" i="1"/>
  <c r="S39" i="1"/>
  <c r="R39" i="1"/>
  <c r="Q39" i="1"/>
  <c r="P39" i="1"/>
  <c r="O39" i="1"/>
  <c r="N39" i="1"/>
  <c r="V38" i="1"/>
  <c r="U38" i="1"/>
  <c r="T38" i="1"/>
  <c r="S38" i="1"/>
  <c r="R38" i="1"/>
  <c r="Q38" i="1"/>
  <c r="P38" i="1"/>
  <c r="O38" i="1"/>
  <c r="N38" i="1"/>
  <c r="V37" i="1"/>
  <c r="U37" i="1"/>
  <c r="T37" i="1"/>
  <c r="S37" i="1"/>
  <c r="R37" i="1"/>
  <c r="Q37" i="1"/>
  <c r="P37" i="1"/>
  <c r="O37" i="1"/>
  <c r="N37" i="1"/>
  <c r="V36" i="1"/>
  <c r="U36" i="1"/>
  <c r="T36" i="1"/>
  <c r="S36" i="1"/>
  <c r="R36" i="1"/>
  <c r="Q36" i="1"/>
  <c r="P36" i="1"/>
  <c r="O36" i="1"/>
  <c r="N36" i="1"/>
  <c r="V35" i="1"/>
  <c r="U35" i="1"/>
  <c r="T35" i="1"/>
  <c r="S35" i="1"/>
  <c r="R35" i="1"/>
  <c r="Q35" i="1"/>
  <c r="P35" i="1"/>
  <c r="O35" i="1"/>
  <c r="N35" i="1"/>
  <c r="V34" i="1"/>
  <c r="U34" i="1"/>
  <c r="T34" i="1"/>
  <c r="S34" i="1"/>
  <c r="R34" i="1"/>
  <c r="Q34" i="1"/>
  <c r="P34" i="1"/>
  <c r="O34" i="1"/>
  <c r="N34" i="1"/>
  <c r="V33" i="1"/>
  <c r="U33" i="1"/>
  <c r="T33" i="1"/>
  <c r="S33" i="1"/>
  <c r="R33" i="1"/>
  <c r="Q33" i="1"/>
  <c r="P33" i="1"/>
  <c r="O33" i="1"/>
  <c r="N33" i="1"/>
  <c r="V32" i="1"/>
  <c r="U32" i="1"/>
  <c r="T32" i="1"/>
  <c r="S32" i="1"/>
  <c r="R32" i="1"/>
  <c r="Q32" i="1"/>
  <c r="P32" i="1"/>
  <c r="O32" i="1"/>
  <c r="N32" i="1"/>
  <c r="V31" i="1"/>
  <c r="U31" i="1"/>
  <c r="T31" i="1"/>
  <c r="S31" i="1"/>
  <c r="R31" i="1"/>
  <c r="Q31" i="1"/>
  <c r="P31" i="1"/>
  <c r="O31" i="1"/>
  <c r="N31" i="1"/>
  <c r="V30" i="1"/>
  <c r="U30" i="1"/>
  <c r="T30" i="1"/>
  <c r="S30" i="1"/>
  <c r="R30" i="1"/>
  <c r="Q30" i="1"/>
  <c r="P30" i="1"/>
  <c r="O30" i="1"/>
  <c r="N30" i="1"/>
  <c r="V29" i="1"/>
  <c r="U29" i="1"/>
  <c r="T29" i="1"/>
  <c r="S29" i="1"/>
  <c r="R29" i="1"/>
  <c r="Q29" i="1"/>
  <c r="P29" i="1"/>
  <c r="O29" i="1"/>
  <c r="N29" i="1"/>
  <c r="V28" i="1"/>
  <c r="U28" i="1"/>
  <c r="T28" i="1"/>
  <c r="S28" i="1"/>
  <c r="R28" i="1"/>
  <c r="Q28" i="1"/>
  <c r="P28" i="1"/>
  <c r="O28" i="1"/>
  <c r="N28" i="1"/>
  <c r="V27" i="1"/>
  <c r="U27" i="1"/>
  <c r="T27" i="1"/>
  <c r="S27" i="1"/>
  <c r="R27" i="1"/>
  <c r="Q27" i="1"/>
  <c r="P27" i="1"/>
  <c r="O27" i="1"/>
  <c r="N27" i="1"/>
  <c r="V26" i="1"/>
  <c r="U26" i="1"/>
  <c r="T26" i="1"/>
  <c r="S26" i="1"/>
  <c r="R26" i="1"/>
  <c r="Q26" i="1"/>
  <c r="P26" i="1"/>
  <c r="O26" i="1"/>
  <c r="N26" i="1"/>
  <c r="V25" i="1"/>
  <c r="U25" i="1"/>
  <c r="T25" i="1"/>
  <c r="S25" i="1"/>
  <c r="R25" i="1"/>
  <c r="Q25" i="1"/>
  <c r="P25" i="1"/>
  <c r="O25" i="1"/>
  <c r="N25" i="1"/>
  <c r="V24" i="1"/>
  <c r="U24" i="1"/>
  <c r="T24" i="1"/>
  <c r="S24" i="1"/>
  <c r="R24" i="1"/>
  <c r="Q24" i="1"/>
  <c r="P24" i="1"/>
  <c r="O24" i="1"/>
  <c r="N24" i="1"/>
  <c r="V23" i="1"/>
  <c r="U23" i="1"/>
  <c r="T23" i="1"/>
  <c r="S23" i="1"/>
  <c r="R23" i="1"/>
  <c r="Q23" i="1"/>
  <c r="P23" i="1"/>
  <c r="O23" i="1"/>
  <c r="N23" i="1"/>
  <c r="V22" i="1"/>
  <c r="U22" i="1"/>
  <c r="T22" i="1"/>
  <c r="S22" i="1"/>
  <c r="R22" i="1"/>
  <c r="Q22" i="1"/>
  <c r="P22" i="1"/>
  <c r="O22" i="1"/>
  <c r="N22" i="1"/>
  <c r="V21" i="1"/>
  <c r="U21" i="1"/>
  <c r="T21" i="1"/>
  <c r="S21" i="1"/>
  <c r="R21" i="1"/>
  <c r="Q21" i="1"/>
  <c r="P21" i="1"/>
  <c r="O21" i="1"/>
  <c r="N21" i="1"/>
  <c r="V20" i="1"/>
  <c r="U20" i="1"/>
  <c r="T20" i="1"/>
  <c r="S20" i="1"/>
  <c r="R20" i="1"/>
  <c r="Q20" i="1"/>
  <c r="P20" i="1"/>
  <c r="O20" i="1"/>
  <c r="N20" i="1"/>
  <c r="V19" i="1"/>
  <c r="U19" i="1"/>
  <c r="T19" i="1"/>
  <c r="S19" i="1"/>
  <c r="R19" i="1"/>
  <c r="Q19" i="1"/>
  <c r="P19" i="1"/>
  <c r="O19" i="1"/>
  <c r="N19" i="1"/>
  <c r="V18" i="1"/>
  <c r="U18" i="1"/>
  <c r="T18" i="1"/>
  <c r="S18" i="1"/>
  <c r="R18" i="1"/>
  <c r="Q18" i="1"/>
  <c r="P18" i="1"/>
  <c r="O18" i="1"/>
  <c r="N18" i="1"/>
  <c r="V17" i="1"/>
  <c r="U17" i="1"/>
  <c r="T17" i="1"/>
  <c r="S17" i="1"/>
  <c r="R17" i="1"/>
  <c r="Q17" i="1"/>
  <c r="P17" i="1"/>
  <c r="O17" i="1"/>
  <c r="N17" i="1"/>
  <c r="V16" i="1"/>
  <c r="U16" i="1"/>
  <c r="T16" i="1"/>
  <c r="S16" i="1"/>
  <c r="R16" i="1"/>
  <c r="Q16" i="1"/>
  <c r="P16" i="1"/>
  <c r="O16" i="1"/>
  <c r="N16" i="1"/>
  <c r="V15" i="1"/>
  <c r="U15" i="1"/>
  <c r="T15" i="1"/>
  <c r="S15" i="1"/>
  <c r="R15" i="1"/>
  <c r="Q15" i="1"/>
  <c r="P15" i="1"/>
  <c r="O15" i="1"/>
  <c r="N15" i="1"/>
  <c r="V14" i="1"/>
  <c r="U14" i="1"/>
  <c r="T14" i="1"/>
  <c r="S14" i="1"/>
  <c r="R14" i="1"/>
  <c r="Q14" i="1"/>
  <c r="P14" i="1"/>
  <c r="O14" i="1"/>
  <c r="N14" i="1"/>
  <c r="V13" i="1"/>
  <c r="U13" i="1"/>
  <c r="T13" i="1"/>
  <c r="S13" i="1"/>
  <c r="R13" i="1"/>
  <c r="Q13" i="1"/>
  <c r="P13" i="1"/>
  <c r="O13" i="1"/>
  <c r="N13" i="1"/>
  <c r="V12" i="1"/>
  <c r="U12" i="1"/>
  <c r="T12" i="1"/>
  <c r="S12" i="1"/>
  <c r="R12" i="1"/>
  <c r="Q12" i="1"/>
  <c r="P12" i="1"/>
  <c r="O12" i="1"/>
  <c r="N12" i="1"/>
  <c r="V11" i="1"/>
  <c r="U11" i="1"/>
  <c r="T11" i="1"/>
  <c r="S11" i="1"/>
  <c r="R11" i="1"/>
  <c r="Q11" i="1"/>
  <c r="P11" i="1"/>
  <c r="O11" i="1"/>
  <c r="N11" i="1"/>
  <c r="V10" i="1"/>
  <c r="U10" i="1"/>
  <c r="T10" i="1"/>
  <c r="S10" i="1"/>
  <c r="R10" i="1"/>
  <c r="Q10" i="1"/>
  <c r="P10" i="1"/>
  <c r="O10" i="1"/>
  <c r="N10" i="1"/>
  <c r="V9" i="1"/>
  <c r="U9" i="1"/>
  <c r="T9" i="1"/>
  <c r="S9" i="1"/>
  <c r="R9" i="1"/>
  <c r="Q9" i="1"/>
  <c r="P9" i="1"/>
  <c r="O9" i="1"/>
  <c r="N9" i="1"/>
  <c r="V8" i="1"/>
  <c r="U8" i="1"/>
  <c r="T8" i="1"/>
  <c r="S8" i="1"/>
  <c r="R8" i="1"/>
  <c r="Q8" i="1"/>
  <c r="P8" i="1"/>
  <c r="O8" i="1"/>
  <c r="N8" i="1"/>
  <c r="V7" i="1"/>
  <c r="U7" i="1"/>
  <c r="T7" i="1"/>
  <c r="S7" i="1"/>
  <c r="R7" i="1"/>
  <c r="Q7" i="1"/>
  <c r="P7" i="1"/>
  <c r="O7" i="1"/>
  <c r="N7" i="1"/>
  <c r="V6" i="1"/>
  <c r="U6" i="1"/>
  <c r="T6" i="1"/>
  <c r="S6" i="1"/>
  <c r="R6" i="1"/>
  <c r="Q6" i="1"/>
  <c r="P6" i="1"/>
  <c r="O6" i="1"/>
  <c r="N6" i="1"/>
  <c r="V5" i="1"/>
  <c r="U5" i="1"/>
  <c r="T5" i="1"/>
  <c r="S5" i="1"/>
  <c r="R5" i="1"/>
  <c r="Q5" i="1"/>
  <c r="P5" i="1"/>
  <c r="O5" i="1"/>
  <c r="N5" i="1"/>
  <c r="V4" i="1"/>
  <c r="U4" i="1"/>
  <c r="T4" i="1"/>
  <c r="S4" i="1"/>
  <c r="R4" i="1"/>
  <c r="Q4" i="1"/>
  <c r="P4" i="1"/>
  <c r="O4" i="1"/>
  <c r="N4" i="1"/>
  <c r="V3" i="1"/>
  <c r="U3" i="1"/>
  <c r="T3" i="1"/>
  <c r="S3" i="1"/>
  <c r="R3" i="1"/>
  <c r="Q3" i="1"/>
  <c r="P3" i="1"/>
  <c r="O3" i="1"/>
  <c r="N3" i="1"/>
  <c r="V2" i="1"/>
  <c r="U2" i="1"/>
  <c r="T2" i="1"/>
  <c r="S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<sst xmlns="http://schemas.openxmlformats.org/spreadsheetml/2006/main" count="2694" uniqueCount="918">
  <si>
    <t>Full country name</t>
  </si>
  <si>
    <t>Short country name</t>
  </si>
  <si>
    <t>Geography</t>
  </si>
  <si>
    <t>ISO</t>
  </si>
  <si>
    <t>Country_Group</t>
  </si>
  <si>
    <t>Group</t>
  </si>
  <si>
    <t>Region (WESP Annex)</t>
  </si>
  <si>
    <t>Subregion (WESP Annex)</t>
  </si>
  <si>
    <t>Region/ subregion (WESP Annex)</t>
  </si>
  <si>
    <t>M49 Code</t>
  </si>
  <si>
    <t>Development_status</t>
  </si>
  <si>
    <t>Export_partner</t>
  </si>
  <si>
    <t>Forecaster</t>
  </si>
  <si>
    <t>Grigor</t>
  </si>
  <si>
    <t>Ingo</t>
  </si>
  <si>
    <t>Danyira</t>
  </si>
  <si>
    <t>Sebastian</t>
  </si>
  <si>
    <t>Yasu</t>
  </si>
  <si>
    <t>Berna</t>
  </si>
  <si>
    <t>Julian</t>
  </si>
  <si>
    <t>Katarzyna</t>
  </si>
  <si>
    <t>WLD</t>
  </si>
  <si>
    <t>DVD</t>
  </si>
  <si>
    <t>EIT</t>
  </si>
  <si>
    <t>DVG</t>
  </si>
  <si>
    <t>NOA</t>
  </si>
  <si>
    <t>DAP</t>
  </si>
  <si>
    <t>EUR</t>
  </si>
  <si>
    <t>E28</t>
  </si>
  <si>
    <t>E27</t>
  </si>
  <si>
    <t>E19</t>
  </si>
  <si>
    <t>E20</t>
  </si>
  <si>
    <t>OEU</t>
  </si>
  <si>
    <t>MG7</t>
  </si>
  <si>
    <t>ODV</t>
  </si>
  <si>
    <t>OCD</t>
  </si>
  <si>
    <t>SEE</t>
  </si>
  <si>
    <t>CIS</t>
  </si>
  <si>
    <t>AFR</t>
  </si>
  <si>
    <t>AFN</t>
  </si>
  <si>
    <t>AFC</t>
  </si>
  <si>
    <t>AFE</t>
  </si>
  <si>
    <t>AFS</t>
  </si>
  <si>
    <t>AFW</t>
  </si>
  <si>
    <t>ASA</t>
  </si>
  <si>
    <t>EAS</t>
  </si>
  <si>
    <t>SAS</t>
  </si>
  <si>
    <t>ASI</t>
  </si>
  <si>
    <t>WAS</t>
  </si>
  <si>
    <t>LAC</t>
  </si>
  <si>
    <t>CRB</t>
  </si>
  <si>
    <t>MCA</t>
  </si>
  <si>
    <t>SAM</t>
  </si>
  <si>
    <t>FEX</t>
  </si>
  <si>
    <t>HIC</t>
  </si>
  <si>
    <t>UPM</t>
  </si>
  <si>
    <t>LOM</t>
  </si>
  <si>
    <t>LIC</t>
  </si>
  <si>
    <t>LDC</t>
  </si>
  <si>
    <t>HIP</t>
  </si>
  <si>
    <t>PCHIP</t>
  </si>
  <si>
    <t>PDHIP</t>
  </si>
  <si>
    <t>SID</t>
  </si>
  <si>
    <t>LLD</t>
  </si>
  <si>
    <t>ARB</t>
  </si>
  <si>
    <t>BRI</t>
  </si>
  <si>
    <t>BRI_PLUS</t>
  </si>
  <si>
    <t>AFR49</t>
  </si>
  <si>
    <t>AME49</t>
  </si>
  <si>
    <t>ASA49</t>
  </si>
  <si>
    <t>EUR49</t>
  </si>
  <si>
    <t>OCE49</t>
  </si>
  <si>
    <t>AFN49</t>
  </si>
  <si>
    <t>SSA49</t>
  </si>
  <si>
    <t>LAC49</t>
  </si>
  <si>
    <t>NOA49</t>
  </si>
  <si>
    <t>CAS49</t>
  </si>
  <si>
    <t>EAS49</t>
  </si>
  <si>
    <t>SEA49</t>
  </si>
  <si>
    <t>SAS49</t>
  </si>
  <si>
    <t>WAS49</t>
  </si>
  <si>
    <t>EEU49</t>
  </si>
  <si>
    <t>NEU49</t>
  </si>
  <si>
    <t>SEU49</t>
  </si>
  <si>
    <t>WEU49</t>
  </si>
  <si>
    <t>ANZ49</t>
  </si>
  <si>
    <t>MEL49</t>
  </si>
  <si>
    <t>MIC49</t>
  </si>
  <si>
    <t>POL49</t>
  </si>
  <si>
    <t>AFE49</t>
  </si>
  <si>
    <t>AFM49</t>
  </si>
  <si>
    <t>AFS49</t>
  </si>
  <si>
    <t>AFW49</t>
  </si>
  <si>
    <t>CRB49</t>
  </si>
  <si>
    <t>MCA49</t>
  </si>
  <si>
    <t>SAM49</t>
  </si>
  <si>
    <t>G20</t>
  </si>
  <si>
    <t>G77</t>
  </si>
  <si>
    <t>CDD</t>
  </si>
  <si>
    <t>WAU</t>
  </si>
  <si>
    <t>MAC</t>
  </si>
  <si>
    <t>CISF</t>
  </si>
  <si>
    <t>CISN</t>
  </si>
  <si>
    <t>AFRF</t>
  </si>
  <si>
    <t>AFRN</t>
  </si>
  <si>
    <t>ESA</t>
  </si>
  <si>
    <t>ESAF</t>
  </si>
  <si>
    <t>ESAN</t>
  </si>
  <si>
    <t>WASF</t>
  </si>
  <si>
    <t>WASN</t>
  </si>
  <si>
    <t>LACF</t>
  </si>
  <si>
    <t>LACN</t>
  </si>
  <si>
    <t>AFXL</t>
  </si>
  <si>
    <t>NAXL</t>
  </si>
  <si>
    <t>EAXC</t>
  </si>
  <si>
    <t>SAXI</t>
  </si>
  <si>
    <t>WAXTI</t>
  </si>
  <si>
    <t>CISXR</t>
  </si>
  <si>
    <t>WLDXV</t>
  </si>
  <si>
    <t>DVGXV</t>
  </si>
  <si>
    <t>LACXV</t>
  </si>
  <si>
    <t>SAMXV</t>
  </si>
  <si>
    <t>LACFXV</t>
  </si>
  <si>
    <t>ASEAN</t>
  </si>
  <si>
    <t>MCS</t>
  </si>
  <si>
    <t>GCC</t>
  </si>
  <si>
    <t>SADC</t>
  </si>
  <si>
    <t>ECOWAS</t>
  </si>
  <si>
    <t>EAC</t>
  </si>
  <si>
    <t>ECCAS</t>
  </si>
  <si>
    <t>SAARC</t>
  </si>
  <si>
    <t>HIFEM</t>
  </si>
  <si>
    <t>LOFEM</t>
  </si>
  <si>
    <t>TRSMD</t>
  </si>
  <si>
    <t>MNFD</t>
  </si>
  <si>
    <t>AGRID</t>
  </si>
  <si>
    <t>OILD</t>
  </si>
  <si>
    <t>SIDXSGP</t>
  </si>
  <si>
    <t>LDCXSA</t>
  </si>
  <si>
    <t>AFXLS</t>
  </si>
  <si>
    <t>NAXLS</t>
  </si>
  <si>
    <t>SASXA</t>
  </si>
  <si>
    <t>ESAXA</t>
  </si>
  <si>
    <t>LACXVA</t>
  </si>
  <si>
    <t>WASXP</t>
  </si>
  <si>
    <t>AFXS</t>
  </si>
  <si>
    <t>MERCOSUR</t>
  </si>
  <si>
    <t>UPMXCHN</t>
  </si>
  <si>
    <t>CRBXG</t>
  </si>
  <si>
    <t>LLDXA</t>
  </si>
  <si>
    <t>NAXS</t>
  </si>
  <si>
    <t>SAMXVA</t>
  </si>
  <si>
    <t>NACD</t>
  </si>
  <si>
    <t>CISXU</t>
  </si>
  <si>
    <t>EITXU</t>
  </si>
  <si>
    <t>LOFEMXU</t>
  </si>
  <si>
    <t>MNFDXU</t>
  </si>
  <si>
    <t>CISXRU</t>
  </si>
  <si>
    <t>WLDXUV</t>
  </si>
  <si>
    <t>WLDXASV</t>
  </si>
  <si>
    <t>WLDXAS</t>
  </si>
  <si>
    <t>WLDXAAPSV</t>
  </si>
  <si>
    <t>WLDXAAPS</t>
  </si>
  <si>
    <t>DVGXAAPS</t>
  </si>
  <si>
    <t>DVGXAAPSV</t>
  </si>
  <si>
    <t>DVGXAS</t>
  </si>
  <si>
    <t>DVGXASV</t>
  </si>
  <si>
    <t>CISNXU</t>
  </si>
  <si>
    <t>EEU49XU</t>
  </si>
  <si>
    <t>EUR49XU</t>
  </si>
  <si>
    <t>AU</t>
  </si>
  <si>
    <t>ASAXAP</t>
  </si>
  <si>
    <t>SAXAI</t>
  </si>
  <si>
    <t>ESAXCI</t>
  </si>
  <si>
    <t>ESAXACI</t>
  </si>
  <si>
    <t>WASXIPT</t>
  </si>
  <si>
    <t>LACXA</t>
  </si>
  <si>
    <t>SAMXA</t>
  </si>
  <si>
    <t>AFRNXS</t>
  </si>
  <si>
    <t>ESANXA</t>
  </si>
  <si>
    <t>WASNXP</t>
  </si>
  <si>
    <t>LACNXA</t>
  </si>
  <si>
    <t>AFN49XLS</t>
  </si>
  <si>
    <t>AFR49XLS</t>
  </si>
  <si>
    <t>ASA49XAP</t>
  </si>
  <si>
    <t>SAS49XA</t>
  </si>
  <si>
    <t>WAS49XP</t>
  </si>
  <si>
    <t>LOFEMXAPS</t>
  </si>
  <si>
    <t>CDDXAS</t>
  </si>
  <si>
    <t>AGRIDXAS</t>
  </si>
  <si>
    <t>MNFDXP</t>
  </si>
  <si>
    <t>OILDXS</t>
  </si>
  <si>
    <t>LOMXP</t>
  </si>
  <si>
    <t>LICXAS</t>
  </si>
  <si>
    <t>G77XAPS</t>
  </si>
  <si>
    <t>LDCXS</t>
  </si>
  <si>
    <t>ARBXPS</t>
  </si>
  <si>
    <t>AUXS</t>
  </si>
  <si>
    <t>SAARCXA</t>
  </si>
  <si>
    <t>MDC</t>
  </si>
  <si>
    <t>MIDC</t>
  </si>
  <si>
    <t>MIDCXP</t>
  </si>
  <si>
    <t>MIDCXA</t>
  </si>
  <si>
    <t>MIDCXAP</t>
  </si>
  <si>
    <t>SIDPAC</t>
  </si>
  <si>
    <t>SIDAIS</t>
  </si>
  <si>
    <t>SIDAISXSGP</t>
  </si>
  <si>
    <t>SIDCAR</t>
  </si>
  <si>
    <t>SIDCARXG</t>
  </si>
  <si>
    <t>MIDCXC</t>
  </si>
  <si>
    <t>MIDCXCP</t>
  </si>
  <si>
    <t>UPMXA</t>
  </si>
  <si>
    <t>SCO</t>
  </si>
  <si>
    <t>Afghanistan</t>
  </si>
  <si>
    <t>AFG</t>
  </si>
  <si>
    <t>Country</t>
  </si>
  <si>
    <t>Asia</t>
  </si>
  <si>
    <t>South Asia</t>
  </si>
  <si>
    <t>Asia: South Asia</t>
  </si>
  <si>
    <t>IND</t>
  </si>
  <si>
    <t>Albania</t>
  </si>
  <si>
    <t>ALB</t>
  </si>
  <si>
    <t>South-Eastern Europe</t>
  </si>
  <si>
    <t/>
  </si>
  <si>
    <t>ITA</t>
  </si>
  <si>
    <t>Algeria</t>
  </si>
  <si>
    <t>DZA</t>
  </si>
  <si>
    <t>Africa</t>
  </si>
  <si>
    <t>North Africa</t>
  </si>
  <si>
    <t>Africa: North Africa</t>
  </si>
  <si>
    <t>ESP</t>
  </si>
  <si>
    <t>Angola</t>
  </si>
  <si>
    <t>AGO</t>
  </si>
  <si>
    <t>Southern Africa</t>
  </si>
  <si>
    <t>Africa: Southern Africa</t>
  </si>
  <si>
    <t>CHN</t>
  </si>
  <si>
    <t>Argentina</t>
  </si>
  <si>
    <t>ARG</t>
  </si>
  <si>
    <t>Latin America and the Caribbean</t>
  </si>
  <si>
    <t>South America</t>
  </si>
  <si>
    <t>Latin America and the Caribbean: South America</t>
  </si>
  <si>
    <t>BRA</t>
  </si>
  <si>
    <t>Armenia</t>
  </si>
  <si>
    <t>ARM</t>
  </si>
  <si>
    <t>Commonwealth of Independent States and Georgia</t>
  </si>
  <si>
    <t>RUS</t>
  </si>
  <si>
    <t>Australia</t>
  </si>
  <si>
    <t>AUS</t>
  </si>
  <si>
    <t>Developed Asia and the Pacific</t>
  </si>
  <si>
    <t>Austria</t>
  </si>
  <si>
    <t>AUT</t>
  </si>
  <si>
    <t>Europe</t>
  </si>
  <si>
    <t>European Union</t>
  </si>
  <si>
    <t>Europe: European Union</t>
  </si>
  <si>
    <t>DEU</t>
  </si>
  <si>
    <t>Azerbaijan</t>
  </si>
  <si>
    <t>AZE</t>
  </si>
  <si>
    <t>Bahamas</t>
  </si>
  <si>
    <t>BHS</t>
  </si>
  <si>
    <t>Caribbean</t>
  </si>
  <si>
    <t>Latin America and the Caribbean: Caribbean</t>
  </si>
  <si>
    <t>USA</t>
  </si>
  <si>
    <t>Bahrain</t>
  </si>
  <si>
    <t>BHR</t>
  </si>
  <si>
    <t>Western Asia</t>
  </si>
  <si>
    <t>Asia: Western Asia</t>
  </si>
  <si>
    <t>SAU</t>
  </si>
  <si>
    <t>Bangladesh</t>
  </si>
  <si>
    <t>BGD</t>
  </si>
  <si>
    <t>Barbados</t>
  </si>
  <si>
    <t>BRB</t>
  </si>
  <si>
    <t>NLD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</si>
  <si>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</si>
  <si>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</si>
  <si>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</si>
  <si>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</si>
  <si>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</si>
  <si>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</si>
  <si>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</si>
  <si>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</si>
  <si>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West Africa</t>
  </si>
  <si>
    <t>Africa: West Africa</t>
  </si>
  <si>
    <t>Bhutan</t>
  </si>
  <si>
    <t>BTN</t>
  </si>
  <si>
    <t>Bolivia (Plurinational State of)</t>
  </si>
  <si>
    <t>Bolivia</t>
  </si>
  <si>
    <t>BOL</t>
  </si>
  <si>
    <t>Bosnia and Herzegovina</t>
  </si>
  <si>
    <t>Bosnia_Herz</t>
  </si>
  <si>
    <t>BIH</t>
  </si>
  <si>
    <t>Botswana</t>
  </si>
  <si>
    <t>BWA</t>
  </si>
  <si>
    <t>Brazil</t>
  </si>
  <si>
    <t>Brunei Darussalam</t>
  </si>
  <si>
    <t>Brunei</t>
  </si>
  <si>
    <t>BRN</t>
  </si>
  <si>
    <t>East Asia</t>
  </si>
  <si>
    <t>Asia: East Asia</t>
  </si>
  <si>
    <t>JPN</t>
  </si>
  <si>
    <t>Zhenqian</t>
  </si>
  <si>
    <t>Bulgaria</t>
  </si>
  <si>
    <t>BGR</t>
  </si>
  <si>
    <t>Burkina Faso</t>
  </si>
  <si>
    <t>Burkina_Faso</t>
  </si>
  <si>
    <t>BFA</t>
  </si>
  <si>
    <t>CHE</t>
  </si>
  <si>
    <t>Burundi</t>
  </si>
  <si>
    <t>BDI</t>
  </si>
  <si>
    <t>East Africa</t>
  </si>
  <si>
    <t>Africa: East Africa</t>
  </si>
  <si>
    <t>COD</t>
  </si>
  <si>
    <t>Cabo Verde</t>
  </si>
  <si>
    <t>Cabo_Verde</t>
  </si>
  <si>
    <t>CPV</t>
  </si>
  <si>
    <t>Cambodia</t>
  </si>
  <si>
    <t>KHM</t>
  </si>
  <si>
    <t>Cameroon</t>
  </si>
  <si>
    <t>CMR</t>
  </si>
  <si>
    <t>Central Africa</t>
  </si>
  <si>
    <t>Africa: Central Africa</t>
  </si>
  <si>
    <t>Canada</t>
  </si>
  <si>
    <t>CAN</t>
  </si>
  <si>
    <t>North America</t>
  </si>
  <si>
    <t>Central African Republic</t>
  </si>
  <si>
    <t>Cen_Afr_Rep</t>
  </si>
  <si>
    <t>CAF</t>
  </si>
  <si>
    <t>NOR</t>
  </si>
  <si>
    <t>Chad</t>
  </si>
  <si>
    <t>TCD</t>
  </si>
  <si>
    <t>Chile</t>
  </si>
  <si>
    <t>CHL</t>
  </si>
  <si>
    <t>China</t>
  </si>
  <si>
    <t>Colombia</t>
  </si>
  <si>
    <t>COL</t>
  </si>
  <si>
    <t>Comoros</t>
  </si>
  <si>
    <t>COM</t>
  </si>
  <si>
    <t>FRA</t>
  </si>
  <si>
    <t>Congo</t>
  </si>
  <si>
    <t>COG</t>
  </si>
  <si>
    <t>Costa Rica</t>
  </si>
  <si>
    <t>Costa_Rica</t>
  </si>
  <si>
    <t>CRI</t>
  </si>
  <si>
    <t>Mexico and Central America</t>
  </si>
  <si>
    <t>Latin America and the Caribbean: Mexico and Central America</t>
  </si>
  <si>
    <t>Côte d’Ivoire</t>
  </si>
  <si>
    <t>Cote_DIvoire</t>
  </si>
  <si>
    <t>CIV</t>
  </si>
  <si>
    <t>Croatia</t>
  </si>
  <si>
    <t>HRV</t>
  </si>
  <si>
    <t>Cuba</t>
  </si>
  <si>
    <t>CUB</t>
  </si>
  <si>
    <t>VEN</t>
  </si>
  <si>
    <t>Cyprus</t>
  </si>
  <si>
    <t>CYP</t>
  </si>
  <si>
    <t>Czechia</t>
  </si>
  <si>
    <t>Czech_Rep</t>
  </si>
  <si>
    <t>CZE</t>
  </si>
  <si>
    <t>Democratic People's Republic of Korea</t>
  </si>
  <si>
    <t>DPRK</t>
  </si>
  <si>
    <t>PRK</t>
  </si>
  <si>
    <t>Democratic Republic of the Congo</t>
  </si>
  <si>
    <t>DR_Congo</t>
  </si>
  <si>
    <t>Denmark</t>
  </si>
  <si>
    <t>DNK</t>
  </si>
  <si>
    <t>Djibouti</t>
  </si>
  <si>
    <t>DJI</t>
  </si>
  <si>
    <t>ETH</t>
  </si>
  <si>
    <t>Dominican Republic</t>
  </si>
  <si>
    <t>Dominican_Rep</t>
  </si>
  <si>
    <t>DOM</t>
  </si>
  <si>
    <t>Ecuador</t>
  </si>
  <si>
    <t>ECU</t>
  </si>
  <si>
    <t>Egypt</t>
  </si>
  <si>
    <t>EGY</t>
  </si>
  <si>
    <t>ARE</t>
  </si>
  <si>
    <t>El Salvador</t>
  </si>
  <si>
    <t>El_Salvador</t>
  </si>
  <si>
    <t>SLV</t>
  </si>
  <si>
    <t>Equatorial Guinea</t>
  </si>
  <si>
    <t>Eq_Guinea</t>
  </si>
  <si>
    <t>GNQ</t>
  </si>
  <si>
    <t>Eritrea</t>
  </si>
  <si>
    <t>ERI</t>
  </si>
  <si>
    <t>Estonia</t>
  </si>
  <si>
    <t>EST</t>
  </si>
  <si>
    <t>FIN</t>
  </si>
  <si>
    <t>Eswatini</t>
  </si>
  <si>
    <t>eSwatini</t>
  </si>
  <si>
    <t>SWZ</t>
  </si>
  <si>
    <t>ZAF</t>
  </si>
  <si>
    <t>Ethiopia</t>
  </si>
  <si>
    <t>SDN</t>
  </si>
  <si>
    <t>Fiji</t>
  </si>
  <si>
    <t>FJI</t>
  </si>
  <si>
    <t>Finland</t>
  </si>
  <si>
    <t>France</t>
  </si>
  <si>
    <t>Gabon</t>
  </si>
  <si>
    <t>GAB</t>
  </si>
  <si>
    <t>Gambia</t>
  </si>
  <si>
    <t>GMB</t>
  </si>
  <si>
    <t>GNB</t>
  </si>
  <si>
    <t>Georgia</t>
  </si>
  <si>
    <t>GEO</t>
  </si>
  <si>
    <t>Germany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</si>
  <si>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</si>
  <si>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</si>
  <si>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</si>
  <si>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</si>
  <si>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</si>
  <si>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</si>
  <si>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</si>
  <si>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</si>
  <si>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</si>
  <si>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Guinea_Bissau</t>
  </si>
  <si>
    <t>Guyana</t>
  </si>
  <si>
    <t>GUY</t>
  </si>
  <si>
    <t>Haiti</t>
  </si>
  <si>
    <t>HTI</t>
  </si>
  <si>
    <t>Honduras</t>
  </si>
  <si>
    <t>HND</t>
  </si>
  <si>
    <t>Hong Kong Special Administrative Region of China</t>
  </si>
  <si>
    <t>Hong_Kong</t>
  </si>
  <si>
    <t>HKG</t>
  </si>
  <si>
    <t>Hungary</t>
  </si>
  <si>
    <t>HUN</t>
  </si>
  <si>
    <t>Iceland</t>
  </si>
  <si>
    <t>ISL</t>
  </si>
  <si>
    <t>Other Europe</t>
  </si>
  <si>
    <t>Europe: Other Europe</t>
  </si>
  <si>
    <t>India</t>
  </si>
  <si>
    <t>Indonesia</t>
  </si>
  <si>
    <t>IDN</t>
  </si>
  <si>
    <t>Iran (Islamic Republic of)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</si>
  <si>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</si>
  <si>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</si>
  <si>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</si>
  <si>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</si>
  <si>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</si>
  <si>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</si>
  <si>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</si>
  <si>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</si>
  <si>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</si>
  <si>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Jamaica</t>
  </si>
  <si>
    <t>JAM</t>
  </si>
  <si>
    <t>Japan</t>
  </si>
  <si>
    <t>Jordan</t>
  </si>
  <si>
    <t>JOR</t>
  </si>
  <si>
    <t>Kazakhstan</t>
  </si>
  <si>
    <t>KAZ</t>
  </si>
  <si>
    <t>Kenya</t>
  </si>
  <si>
    <t>KEN</t>
  </si>
  <si>
    <t>UGA</t>
  </si>
  <si>
    <t>Kiribati</t>
  </si>
  <si>
    <t>KIR</t>
  </si>
  <si>
    <t>Kuwait</t>
  </si>
  <si>
    <t>KWT</t>
  </si>
  <si>
    <t>KOR</t>
  </si>
  <si>
    <t>Kyrgyzstan</t>
  </si>
  <si>
    <t>KGZ</t>
  </si>
  <si>
    <t>Lao People’s Democratic Republic</t>
  </si>
  <si>
    <t>Lao_PDR</t>
  </si>
  <si>
    <t>LAO</t>
  </si>
  <si>
    <t>THA</t>
  </si>
  <si>
    <t>Latvia</t>
  </si>
  <si>
    <t>LVA</t>
  </si>
  <si>
    <t>LTU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</si>
  <si>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</si>
  <si>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</si>
  <si>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</si>
  <si>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</si>
  <si>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</si>
  <si>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</si>
  <si>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</si>
  <si>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</si>
  <si>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</si>
  <si>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Luxembourg</t>
  </si>
  <si>
    <t>LUX</t>
  </si>
  <si>
    <t>Madagascar</t>
  </si>
  <si>
    <t>MDG</t>
  </si>
  <si>
    <t>Malawi</t>
  </si>
  <si>
    <t>MWI</t>
  </si>
  <si>
    <t>ZWE</t>
  </si>
  <si>
    <t>Malaysia</t>
  </si>
  <si>
    <t>MYS</t>
  </si>
  <si>
    <t>SGP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</si>
  <si>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</si>
  <si>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</si>
  <si>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</si>
  <si>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</si>
  <si>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</si>
  <si>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</si>
  <si>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</si>
  <si>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</si>
  <si>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</si>
  <si>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</si>
  <si>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</si>
  <si>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</si>
  <si>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</si>
  <si>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</si>
  <si>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</si>
  <si>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</si>
  <si>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</si>
  <si>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</si>
  <si>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</si>
  <si>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</si>
  <si>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</si>
  <si>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</si>
  <si>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</si>
  <si>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</si>
  <si>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</si>
  <si>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</si>
  <si>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 (Kingdom of the)</t>
  </si>
  <si>
    <t>Netherlands</t>
  </si>
  <si>
    <t>New Zealand</t>
  </si>
  <si>
    <t>New_Zealand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</si>
  <si>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</si>
  <si>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</si>
  <si>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</si>
  <si>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</si>
  <si>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</si>
  <si>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</si>
  <si>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</si>
  <si>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</si>
  <si>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North_Macedonia</t>
  </si>
  <si>
    <t>MKD</t>
  </si>
  <si>
    <t>Norway</t>
  </si>
  <si>
    <t>GBR</t>
  </si>
  <si>
    <t>Oman</t>
  </si>
  <si>
    <t>OMN</t>
  </si>
  <si>
    <t>Pakistan</t>
  </si>
  <si>
    <t>PAK</t>
  </si>
  <si>
    <t>Panama</t>
  </si>
  <si>
    <t>PAN</t>
  </si>
  <si>
    <t>Papua New Guinea</t>
  </si>
  <si>
    <t>Papua_New_G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</si>
  <si>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</si>
  <si>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</si>
  <si>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</si>
  <si>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</si>
  <si>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</si>
  <si>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</si>
  <si>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</si>
  <si>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</si>
  <si>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</si>
  <si>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</si>
  <si>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</si>
  <si>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</si>
  <si>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</si>
  <si>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</si>
  <si>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Rep_Korea</t>
  </si>
  <si>
    <t>Republic of Moldova</t>
  </si>
  <si>
    <t>Moldova</t>
  </si>
  <si>
    <t>MDA</t>
  </si>
  <si>
    <t>ROU</t>
  </si>
  <si>
    <t>Romania</t>
  </si>
  <si>
    <t>Russian Federation</t>
  </si>
  <si>
    <t>Russian_Fed</t>
  </si>
  <si>
    <t>Rwanda</t>
  </si>
  <si>
    <t>RWA</t>
  </si>
  <si>
    <t>Samoa</t>
  </si>
  <si>
    <t>WSM</t>
  </si>
  <si>
    <t>Sao Tome and Principe</t>
  </si>
  <si>
    <t>Sao_Tome_Prin</t>
  </si>
  <si>
    <t>STP</t>
  </si>
  <si>
    <t>Saudi Arabia</t>
  </si>
  <si>
    <t>Saudi_Arabia</t>
  </si>
  <si>
    <t>Senegal</t>
  </si>
  <si>
    <t>SEN</t>
  </si>
  <si>
    <t>Serbia</t>
  </si>
  <si>
    <t>SRB</t>
  </si>
  <si>
    <t>Sierra Leone</t>
  </si>
  <si>
    <t>Sierra_Leone</t>
  </si>
  <si>
    <t>SLE</t>
  </si>
  <si>
    <t>Singapore</t>
  </si>
  <si>
    <t>Slovakia</t>
  </si>
  <si>
    <t>SVK</t>
  </si>
  <si>
    <t>Slovenia</t>
  </si>
  <si>
    <t>SVN</t>
  </si>
  <si>
    <t>Solomon Islands</t>
  </si>
  <si>
    <t>Solomon_Isl</t>
  </si>
  <si>
    <t>SLB</t>
  </si>
  <si>
    <t>Somalia</t>
  </si>
  <si>
    <t>SOM</t>
  </si>
  <si>
    <t>South Africa</t>
  </si>
  <si>
    <t>South_Africa</t>
  </si>
  <si>
    <t>South Sudan</t>
  </si>
  <si>
    <t>South_Sudan</t>
  </si>
  <si>
    <t>SSD</t>
  </si>
  <si>
    <t>Spain</t>
  </si>
  <si>
    <t>Sri Lanka</t>
  </si>
  <si>
    <t>Sri_Lanka</t>
  </si>
  <si>
    <t>LKA</t>
  </si>
  <si>
    <t>State of Palestine</t>
  </si>
  <si>
    <t>Palestine</t>
  </si>
  <si>
    <t>PSE</t>
  </si>
  <si>
    <t>Sudan</t>
  </si>
  <si>
    <t>Suriname</t>
  </si>
  <si>
    <t>SUR</t>
  </si>
  <si>
    <t>Sweden</t>
  </si>
  <si>
    <t>SWE</t>
  </si>
  <si>
    <t>Switzerland</t>
  </si>
  <si>
    <t>Syrian Arab Republic</t>
  </si>
  <si>
    <t>Syria</t>
  </si>
  <si>
    <t>SYR</t>
  </si>
  <si>
    <t>Taiwan Province of China</t>
  </si>
  <si>
    <t>Taiwan</t>
  </si>
  <si>
    <t>TWN</t>
  </si>
  <si>
    <t>Tajikistan</t>
  </si>
  <si>
    <t>TJK</t>
  </si>
  <si>
    <t>Thailand</t>
  </si>
  <si>
    <t>Timor-Leste</t>
  </si>
  <si>
    <t>Timor_Leste</t>
  </si>
  <si>
    <t>TLS</t>
  </si>
  <si>
    <t>Togo</t>
  </si>
  <si>
    <t>TGO</t>
  </si>
  <si>
    <t>Trinidad and Tobago</t>
  </si>
  <si>
    <t>Trinidad_Tob</t>
  </si>
  <si>
    <t>TTO</t>
  </si>
  <si>
    <t>Tunisia</t>
  </si>
  <si>
    <t>TUN</t>
  </si>
  <si>
    <t>Türkiye</t>
  </si>
  <si>
    <t>Turkey</t>
  </si>
  <si>
    <t>TUR</t>
  </si>
  <si>
    <t>Turkmenistan</t>
  </si>
  <si>
    <t>TKM</t>
  </si>
  <si>
    <t>Uganda</t>
  </si>
  <si>
    <t>Ukraine</t>
  </si>
  <si>
    <t>UKR</t>
  </si>
  <si>
    <t>United Arab Emirates</t>
  </si>
  <si>
    <t>UAE</t>
  </si>
  <si>
    <t>United Kingdom of Great Britain and Northern Ireland</t>
  </si>
  <si>
    <t>UK</t>
  </si>
  <si>
    <t>United Republic of Tanzania</t>
  </si>
  <si>
    <t>Tanzania</t>
  </si>
  <si>
    <t>TZA</t>
  </si>
  <si>
    <t>United States of America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</si>
  <si>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</si>
  <si>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</si>
  <si>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</si>
  <si>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</si>
  <si>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</si>
  <si>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</si>
  <si>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</si>
  <si>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Venezuela</t>
  </si>
  <si>
    <t>Viet Nam</t>
  </si>
  <si>
    <t>Viet_Nam</t>
  </si>
  <si>
    <t>VNM</t>
  </si>
  <si>
    <t>Yemen</t>
  </si>
  <si>
    <t>YEM</t>
  </si>
  <si>
    <t>Zambia</t>
  </si>
  <si>
    <t>ZMB</t>
  </si>
  <si>
    <t>Zimbabwe</t>
  </si>
  <si>
    <t>Africa excluding Libya</t>
  </si>
  <si>
    <t>AFR_XLBY</t>
  </si>
  <si>
    <t>Africa - net fuel exporters</t>
  </si>
  <si>
    <t>AFR_FEX</t>
  </si>
  <si>
    <t>Africa - net fuel importers</t>
  </si>
  <si>
    <t>AFR_NFEX</t>
  </si>
  <si>
    <t>Agriculture dependent economies ( &gt; 20% of merchandise exports)</t>
  </si>
  <si>
    <t>Agriculture_dependent</t>
  </si>
  <si>
    <t>Arab States</t>
  </si>
  <si>
    <t>Arab_States</t>
  </si>
  <si>
    <t>Association of Southeast Asian Nations (ASEAN)</t>
  </si>
  <si>
    <t>Asian SIDS</t>
  </si>
  <si>
    <t>Asian_SIDS</t>
  </si>
  <si>
    <t>BRICS</t>
  </si>
  <si>
    <t>Central_Africa</t>
  </si>
  <si>
    <t>Commonwealth of Independent States and Georgia excluding Russian Federation</t>
  </si>
  <si>
    <t>CIS_XRUS</t>
  </si>
  <si>
    <t>Commonwealth of Independent States and Georgia - net fuel exporters</t>
  </si>
  <si>
    <t>CIS_FEX</t>
  </si>
  <si>
    <t>Commonwealth of Independent States and Georgia - net fuel importers</t>
  </si>
  <si>
    <t>CIS_NFEX</t>
  </si>
  <si>
    <t>Commodity dependent (UNCTAD)</t>
  </si>
  <si>
    <t>Commodity_dependent</t>
  </si>
  <si>
    <t>CIS_and_Georgia</t>
  </si>
  <si>
    <t>Developed economies</t>
  </si>
  <si>
    <t>Developed</t>
  </si>
  <si>
    <t>Developed_Asia_Pacific</t>
  </si>
  <si>
    <t>Developing economies</t>
  </si>
  <si>
    <t>Developing</t>
  </si>
  <si>
    <t>Developing economies excluding Venezuela (Bolivarian Republic of)</t>
  </si>
  <si>
    <t>DVG_XVEN</t>
  </si>
  <si>
    <t>East African Community</t>
  </si>
  <si>
    <t>East_Africa</t>
  </si>
  <si>
    <t>East and South Asia</t>
  </si>
  <si>
    <t>East_South_Asia</t>
  </si>
  <si>
    <t>East and South Asia - net fuel exporters</t>
  </si>
  <si>
    <t>ESA_FEX</t>
  </si>
  <si>
    <t>East and South Asia - net fuel importers</t>
  </si>
  <si>
    <t>ESA_NFEX</t>
  </si>
  <si>
    <t>East_Asia</t>
  </si>
  <si>
    <t>East Asia excluding China</t>
  </si>
  <si>
    <t>EAS_XCHN</t>
  </si>
  <si>
    <t>Economic Community of Central African States</t>
  </si>
  <si>
    <t>Economic and Monetary Community of Central Africa</t>
  </si>
  <si>
    <t>CEMAC</t>
  </si>
  <si>
    <t>Economies in transition</t>
  </si>
  <si>
    <t>Economies_in_transition</t>
  </si>
  <si>
    <t>Economic Community of West African States</t>
  </si>
  <si>
    <t>Euro area (19)</t>
  </si>
  <si>
    <t>Euro_area_19</t>
  </si>
  <si>
    <t>Euro area</t>
  </si>
  <si>
    <t>Euro_area</t>
  </si>
  <si>
    <t>European_Union_xUK</t>
  </si>
  <si>
    <t>European Union and United Kingdom</t>
  </si>
  <si>
    <t>European_Union_inclUK</t>
  </si>
  <si>
    <t>Fuel-exporting countries</t>
  </si>
  <si>
    <t>Fuel-exporting_countries</t>
  </si>
  <si>
    <t>The Cooperation Council for the Arab States of the Gulf (GCC)</t>
  </si>
  <si>
    <t>Heavily indebted poor countries</t>
  </si>
  <si>
    <t>HIPC</t>
  </si>
  <si>
    <t>High female labour force participation</t>
  </si>
  <si>
    <t>High_FLFP</t>
  </si>
  <si>
    <t>High-income countries</t>
  </si>
  <si>
    <t>High-income</t>
  </si>
  <si>
    <t>Landlocked developing countries</t>
  </si>
  <si>
    <t>LLDC</t>
  </si>
  <si>
    <t>Latin America and Caribbean excluding Venezuela (Bolivarian Republic of)</t>
  </si>
  <si>
    <t>LAC_XVEN</t>
  </si>
  <si>
    <t>Latin_America_and_Caribbean</t>
  </si>
  <si>
    <t>Latin America and the Caribbean - net fuel exporters</t>
  </si>
  <si>
    <t>LAC_FEX</t>
  </si>
  <si>
    <t>Latin America and the Caribbean - net fuel exporters excluding Venezuela (Bolivarian Republic of)</t>
  </si>
  <si>
    <t>LAC_FEXXV</t>
  </si>
  <si>
    <t>Latin America and the Caribbean - net fuel importers</t>
  </si>
  <si>
    <t>LAC_NFEX</t>
  </si>
  <si>
    <t>Least developed countries (LDC)</t>
  </si>
  <si>
    <t>Low female labour force participation</t>
  </si>
  <si>
    <t>Low_FLFP</t>
  </si>
  <si>
    <t>Lower-middle-income countries</t>
  </si>
  <si>
    <t>Lower_middle_income</t>
  </si>
  <si>
    <t>Low-income countries</t>
  </si>
  <si>
    <t>Low-income</t>
  </si>
  <si>
    <t>M49 Africa</t>
  </si>
  <si>
    <t>M49_Africa</t>
  </si>
  <si>
    <t>M49 Americas</t>
  </si>
  <si>
    <t>M49_Americas</t>
  </si>
  <si>
    <t>M49 Asia</t>
  </si>
  <si>
    <t>M49_Asia</t>
  </si>
  <si>
    <t>M49 Australia and New Zealand</t>
  </si>
  <si>
    <t>M49_Australia_and_New_Zealand</t>
  </si>
  <si>
    <t>M49 Caribbean</t>
  </si>
  <si>
    <t>M49_Caribbean</t>
  </si>
  <si>
    <t>M49 Central America</t>
  </si>
  <si>
    <t>M49_Central_America</t>
  </si>
  <si>
    <t>M49 Central Asia</t>
  </si>
  <si>
    <t>M49_Central_Asia</t>
  </si>
  <si>
    <t>M49 Eastern Africa</t>
  </si>
  <si>
    <t>M49_Eastern_Africa</t>
  </si>
  <si>
    <t>M49 Eastern Asia</t>
  </si>
  <si>
    <t>M49_Eastern_Asia</t>
  </si>
  <si>
    <t>M49 Eastern Europe</t>
  </si>
  <si>
    <t>M49_Eastern_Europe</t>
  </si>
  <si>
    <t>M49 Europe</t>
  </si>
  <si>
    <t>M49_Europe</t>
  </si>
  <si>
    <t>M49 Latin America and the Caribbean</t>
  </si>
  <si>
    <t>M49_Latin_America_and_Caribbean</t>
  </si>
  <si>
    <t>M49 Melanesia</t>
  </si>
  <si>
    <t>M49_Melanesia</t>
  </si>
  <si>
    <t>M49 Micronesia</t>
  </si>
  <si>
    <t>M49_Micronesia</t>
  </si>
  <si>
    <t>M49 Middle Africa</t>
  </si>
  <si>
    <t>M49_Middle_Africa</t>
  </si>
  <si>
    <t>M49 Northern Africa</t>
  </si>
  <si>
    <t>M49_Northern_Africa</t>
  </si>
  <si>
    <t>M49 Northern America</t>
  </si>
  <si>
    <t>M49_Northern_America</t>
  </si>
  <si>
    <t>M49 Northern Europe</t>
  </si>
  <si>
    <t>M49_Northern_Europe</t>
  </si>
  <si>
    <t>M49 Oceania</t>
  </si>
  <si>
    <t>M49_Oceania</t>
  </si>
  <si>
    <t>M49 Polynesia</t>
  </si>
  <si>
    <t>M49_Polynesia</t>
  </si>
  <si>
    <t>M49 South America</t>
  </si>
  <si>
    <t>M49_South_America</t>
  </si>
  <si>
    <t>M49 South-eastern Asia</t>
  </si>
  <si>
    <t>M49_South-eastern_Asia</t>
  </si>
  <si>
    <t>M49 Southern Africa</t>
  </si>
  <si>
    <t>M49_Southern_Africa</t>
  </si>
  <si>
    <t>M49 Southern Asia</t>
  </si>
  <si>
    <t>M49_Southern_Asia</t>
  </si>
  <si>
    <t>M49 Southern Europe</t>
  </si>
  <si>
    <t>M49_Southern_Europe</t>
  </si>
  <si>
    <t>M49 Sub-Saharan Africa</t>
  </si>
  <si>
    <t>M49_Sub-Saharan_Africa</t>
  </si>
  <si>
    <t>M49 Western Africa</t>
  </si>
  <si>
    <t>M49_Western_Africa</t>
  </si>
  <si>
    <t>M49 Western Asia</t>
  </si>
  <si>
    <t>M49_Western_Asia</t>
  </si>
  <si>
    <t>M49 Western Europe</t>
  </si>
  <si>
    <t>M49_Western_Europe</t>
  </si>
  <si>
    <t>Major developed economies (G7)</t>
  </si>
  <si>
    <t>G7</t>
  </si>
  <si>
    <t>Manufacturing dependent economies ( &gt; 20% of merchandise exports)</t>
  </si>
  <si>
    <t>Manufacturing_dependent</t>
  </si>
  <si>
    <t>Southern Common Market (MERCOSUR)</t>
  </si>
  <si>
    <t>Mexico_and_Central_America</t>
  </si>
  <si>
    <t>Non-agricultural commodity dependent economies (fuels, minerals, ores, metals)</t>
  </si>
  <si>
    <t>North_Africa</t>
  </si>
  <si>
    <t>North Africa excluding Libya</t>
  </si>
  <si>
    <t>AFN_XLBY</t>
  </si>
  <si>
    <t>Northern America</t>
  </si>
  <si>
    <t>North_America</t>
  </si>
  <si>
    <t>OECD</t>
  </si>
  <si>
    <t>Other developed countries</t>
  </si>
  <si>
    <t>Other_Developed</t>
  </si>
  <si>
    <t>Other_Europe</t>
  </si>
  <si>
    <t>Post-completion HIPCs</t>
  </si>
  <si>
    <t>PC_HIPCs</t>
  </si>
  <si>
    <t>Pre-decision HIPCs</t>
  </si>
  <si>
    <t>PD_HIPCs</t>
  </si>
  <si>
    <t>South Asian Association for Regional Cooperation (SAARC)</t>
  </si>
  <si>
    <t>Southern African Development Community (SADC)</t>
  </si>
  <si>
    <t>Small island developing States (SIDS)</t>
  </si>
  <si>
    <t>SIDS</t>
  </si>
  <si>
    <t>Small island developing States excluding Singapore</t>
  </si>
  <si>
    <t>South_America</t>
  </si>
  <si>
    <t>South America excluding Venezuela (Bolivarian Republic of)</t>
  </si>
  <si>
    <t>SAM_XVEN</t>
  </si>
  <si>
    <t>South_Asia</t>
  </si>
  <si>
    <t>South Asia excluding India</t>
  </si>
  <si>
    <t>SAS_XIND</t>
  </si>
  <si>
    <t>South-Eastern_Europe</t>
  </si>
  <si>
    <t>Southern_Africa</t>
  </si>
  <si>
    <t>Tourism dependent economies ( &gt; 20% of merchandise exports)</t>
  </si>
  <si>
    <t>Tourism_dependent</t>
  </si>
  <si>
    <t>Upper-middle-income countries</t>
  </si>
  <si>
    <t>Upper_middle_income</t>
  </si>
  <si>
    <t>West_Africa</t>
  </si>
  <si>
    <t>West African Economic and Monetary Union</t>
  </si>
  <si>
    <t>UEMOA</t>
  </si>
  <si>
    <t>Western Asia excluding Israel and Türkiye</t>
  </si>
  <si>
    <t>WAS_XTURISR</t>
  </si>
  <si>
    <t>Western Asia - net fuel exporters</t>
  </si>
  <si>
    <t>WAS_FEX</t>
  </si>
  <si>
    <t>Western Asia - net fuel importers</t>
  </si>
  <si>
    <t>WAS_NFEX</t>
  </si>
  <si>
    <t>Western_Asia</t>
  </si>
  <si>
    <t>World</t>
  </si>
  <si>
    <t>World excluding Venezuela (Bolivarian Republic of)</t>
  </si>
  <si>
    <t>WLD_XVEN</t>
  </si>
  <si>
    <t>Commonwealth of Independent States and Georgia excluding Ukraine</t>
  </si>
  <si>
    <t>Economies in transition excluding Ukraine</t>
  </si>
  <si>
    <t>Low female labour force participation excluding Ukraine</t>
  </si>
  <si>
    <t>Manufacturing dependent economies ( &gt; 20% of merchandise exports) excluding Ukraine</t>
  </si>
  <si>
    <t>Commonwealth of Independent States and Georgia excluding Russian Federation and Ukraine</t>
  </si>
  <si>
    <t>World excluding Ukraine and Venezuela (Bolivarian Republic of)</t>
  </si>
  <si>
    <t>Commonwealth of Independent States and Georgia - net fuel importers excluding Ukraine</t>
  </si>
  <si>
    <t>M49 Eastern Europe excluding Ukraine</t>
  </si>
  <si>
    <t>M49 Europe excluding Ukraine</t>
  </si>
  <si>
    <t>Latin America and the Caribbean excluding Argentina and Venezuela (Bolivarian Republic of)</t>
  </si>
  <si>
    <t>Upper-middle-income countries excluding China</t>
  </si>
  <si>
    <t>Africa excluding Libya and Sudan</t>
  </si>
  <si>
    <t>Africa excluding Sudan</t>
  </si>
  <si>
    <t>East and South Asia excluding Afghanistan</t>
  </si>
  <si>
    <t>Least developed countries excluding Afghanistan and Sudan</t>
  </si>
  <si>
    <t>Mercosur - Southern Common Market</t>
  </si>
  <si>
    <t>Nort Africa excluding Libya and Sudan</t>
  </si>
  <si>
    <t>Oil dependent economies</t>
  </si>
  <si>
    <t>South Asia excluding Afghanistan</t>
  </si>
  <si>
    <t>Western Asia excluding State of Palestine</t>
  </si>
  <si>
    <t>Caribbean excluding Guyana</t>
  </si>
  <si>
    <t>Landlocked developing countries excluding Afghanistan</t>
  </si>
  <si>
    <t>North Africa excluding Sudan</t>
  </si>
  <si>
    <t>South America excluding Argentina and Venezuela (Bolivarian Republic of)</t>
  </si>
  <si>
    <t>Least developed countries excluding Sudan</t>
  </si>
  <si>
    <t>Original BRICS countries (Brazil, Russia, India, China and South Africa)</t>
  </si>
  <si>
    <t>African Union</t>
  </si>
  <si>
    <t>World excluding Afghanistan, Argentina, State of Palestine and Sudan</t>
  </si>
  <si>
    <t>World excluding Afghanistan, Argentina, State of Palestine, Sudan and Venezuela (Bolivarian Republic of)</t>
  </si>
  <si>
    <t>World excluding Argentina and Sudan</t>
  </si>
  <si>
    <t>World excluding Argentina, Sudan and Venezuela (Bolivarian Republic of)</t>
  </si>
  <si>
    <t>Developing economies excluding Afghanistan, Argentina, State of Palestine and Sudan</t>
  </si>
  <si>
    <t>Developing economies excluding Afghanistan, Argentina, State of Palestine, Sudan and Venezuela (Bolivarian Republic of)</t>
  </si>
  <si>
    <t>Developing economies excluding Argentina and Sudan</t>
  </si>
  <si>
    <t>Developing economies excluding Argentina, Sudan and Venezuela (Bolivarian Republic of)</t>
  </si>
  <si>
    <t>Asia excluding Afghanistan and State of Palestine</t>
  </si>
  <si>
    <t>South Asia excluding Afghanistan and India</t>
  </si>
  <si>
    <t>East and South Asia excluding China and India</t>
  </si>
  <si>
    <t>East and South Asia excluding Afghanistan, China and India</t>
  </si>
  <si>
    <t>Western Asia excluding Israel, State of Palestine and Türkiye</t>
  </si>
  <si>
    <t>Latin America and the Caribbean excluding Argentina</t>
  </si>
  <si>
    <t>South America excluding Argentina</t>
  </si>
  <si>
    <t>Africa - net fuel importers excluding Sudan</t>
  </si>
  <si>
    <t>East and South Asia - net fuel importers excluding Afghanistan</t>
  </si>
  <si>
    <t>Western Asia - net fuel importers excluding State of Palestine</t>
  </si>
  <si>
    <t>Latin America and the Caribbean - net fuel importers excluding Argentina</t>
  </si>
  <si>
    <t>M49 Northern Africa excluding Libya and Sudan</t>
  </si>
  <si>
    <t>M49 Africa excluding Libya and Sudan</t>
  </si>
  <si>
    <t>M49 Asia excluding Afghanistan and State of Palestine</t>
  </si>
  <si>
    <t>M49 Southern Asia excluding Afghanistan</t>
  </si>
  <si>
    <t>M49 Western Asia excluding State of Palestine</t>
  </si>
  <si>
    <t>Low female labour force participation excluding Afghanistan, State of Palestine and Sudan</t>
  </si>
  <si>
    <t>Commodity dependent (UNCTAD) excluding Afghanistan and Sudan</t>
  </si>
  <si>
    <t>Agriculture dependent economies ( &gt; 20% of merchandise exports) excluding Afghanistan and Sudan</t>
  </si>
  <si>
    <t>Manufacturing dependent economies ( &gt; 20% of merchandise exports) excluding State of Palestine</t>
  </si>
  <si>
    <t>Oil dependent economies excluding Sudan</t>
  </si>
  <si>
    <t>Lower-middle-income countries excluding State of Palestine</t>
  </si>
  <si>
    <t>Low-income countries excluding Afghanistan and Sudan</t>
  </si>
  <si>
    <t>G77 excluding Afghanistan, State of Palestine and Sudan</t>
  </si>
  <si>
    <t>Arab States excluding State of Palestine and Sudan</t>
  </si>
  <si>
    <t>African Union excluding Sudan</t>
  </si>
  <si>
    <t>South Asian Association for Regional Cooperation (SAARC) excluding Afghanistan</t>
  </si>
  <si>
    <t>Mineral dependent countries (UNCTAD)</t>
  </si>
  <si>
    <t>Middle-income countries</t>
  </si>
  <si>
    <t>Middle-income countries excluding the State of Palestine</t>
  </si>
  <si>
    <t>Middle-income countries excluding Argentina</t>
  </si>
  <si>
    <t>Middle-income countries excluding Argentina and the State of Palestine</t>
  </si>
  <si>
    <t>Pacific SIDS</t>
  </si>
  <si>
    <t>Atlantic, Indian Ocean and South China Sea SIDS</t>
  </si>
  <si>
    <t>Atlantic, Indian Ocean and South China Sea SIDS excluding Singapore</t>
  </si>
  <si>
    <t>Caribbean SIDS</t>
  </si>
  <si>
    <t>Caribbean SIDS excluding Guyana</t>
  </si>
  <si>
    <t>Middle-income countries excluding China</t>
  </si>
  <si>
    <t>Middle-income countries excluding China and the State of Palestine</t>
  </si>
  <si>
    <t>Upper-middle income countries excluding Argentina</t>
  </si>
  <si>
    <t>Shanghai Cooperation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</si>
</sst>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99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3" fillId="0" borderId="0" xfId="0" applyFont="1"/>
    <xf numFmtId="0" fontId="5" fillId="0" borderId="0" xfId="0" applyFont="1"/>
    <xf numFmtId="0" fontId="7" fillId="0" borderId="0" xfId="1" applyFont="1"/>
  </cellXfs>
  <cellStyles count="2">
    <cellStyle name="Normal" xfId="0" builtinId="0"/>
    <cellStyle name="Normal 2" xfId="1" xr:uid="{DB8AA7D3-5A9E-4311-AA84-2D3466C5965C}"/>
  </cellStyles>
  <dxfs count="2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96995-3C84-4839-999D-9A75139446B3}" name="Regions_master" displayName="Regions_master" ref="A1:HF372" totalsRowShown="0" headerRowDxfId="215" dataDxfId="214">
  <autoFilter ref="A1:HF372" xr:uid="{C89BB261-BF78-4BF9-AAB7-981D9CA8CDAF}"/>
  <tableColumns count="214">
    <tableColumn id="1" xr3:uid="{576B8CCD-4496-4681-89E1-A40CC7BB533C}" name="Full country name" dataDxfId="213"/>
    <tableColumn id="2" xr3:uid="{7BC5B724-6E9A-4046-9B8A-BD3CA620A073}" name="Short country name" dataDxfId="212"/>
    <tableColumn id="3" xr3:uid="{7DEB502E-9D97-45A2-81BB-8A619EEBA6E3}" name="Geography" dataDxfId="211"/>
    <tableColumn id="4" xr3:uid="{A22C73A8-1D9C-468F-B469-EDEFD94CA3FA}" name="ISO" dataDxfId="210"/>
    <tableColumn id="5" xr3:uid="{F8038397-3B24-4ADF-9BE9-7A1FE702097A}" name="Country_Group" dataDxfId="209"/>
    <tableColumn id="6" xr3:uid="{EF1B2F6C-7532-4BAB-A620-8D986567FC7C}" name="Group" dataDxfId="208"/>
    <tableColumn id="7" xr3:uid="{D16E32FE-DD01-4521-A414-612A4A7929C8}" name="Region (WESP Annex)" dataDxfId="207"/>
    <tableColumn id="8" xr3:uid="{7177784D-B986-4E42-84FA-AC76C1F59B7E}" name="Subregion (WESP Annex)" dataDxfId="206"/>
    <tableColumn id="9" xr3:uid="{6E210311-B021-4BD8-858C-F14C2AAD24C3}" name="Region/ subregion (WESP Annex)" dataDxfId="205"/>
    <tableColumn id="10" xr3:uid="{D5B8799B-448F-49A1-8B25-E39E8207C72C}" name="M49 Code" dataDxfId="204"/>
    <tableColumn id="11" xr3:uid="{1DB93C7E-4F3A-4E6F-A1D7-07A2A798DEFD}" name="Development_status" dataDxfId="203"/>
    <tableColumn id="12" xr3:uid="{E76AE9BF-35CA-42FC-AE01-DB6DFDFBDE31}" name="Export_partner" dataDxfId="202"/>
    <tableColumn id="13" xr3:uid="{3A8C43B1-8C81-4C7C-BA4D-B6BA1F0A5386}" name="Forecaster" dataDxfId="201"/>
    <tableColumn id="14" xr3:uid="{B68176B1-A984-477C-B9D1-B3EE9D990A9A}" name="Grigor" dataDxfId="200"/>
    <tableColumn id="16" xr3:uid="{B4E67E38-9DCD-44F8-8767-786EA7114EA2}" name="Ingo" dataDxfId="199"/>
    <tableColumn id="17" xr3:uid="{A06E8AF6-8B62-4ECA-A9EF-B857498C8B6F}" name="Danyira" dataDxfId="198"/>
    <tableColumn id="18" xr3:uid="{05A06FAE-3142-489C-9ED1-227A382C2D65}" name="Sebastian" dataDxfId="197"/>
    <tableColumn id="21" xr3:uid="{5E96BD7A-AEFE-4434-8979-E8AE6E4948E1}" name="Yasu" dataDxfId="196"/>
    <tableColumn id="136" xr3:uid="{329F84D6-FE95-45E0-B85D-723409B83B61}" name="Zhenqian" dataDxfId="195">
      <calculatedColumnFormula>IF(Regions_master[[#This Row],[Forecaster]]=Regions_master[[#Headers],[Zhenqian]],1,0)</calculatedColumnFormula>
    </tableColumn>
    <tableColumn id="19" xr3:uid="{0BE4B493-BB9F-474E-BBAC-493D132A8798}" name="Berna" dataDxfId="194">
      <calculatedColumnFormula>IF(Regions_master[[#This Row],[Forecaster]]=Regions_master[[#Headers],[Berna]],1,0)</calculatedColumnFormula>
    </tableColumn>
    <tableColumn id="20" xr3:uid="{B6376893-DEF5-4EC0-89AB-613DA5B32E01}" name="Julian" dataDxfId="193">
      <calculatedColumnFormula>IF(Regions_master[[#This Row],[Forecaster]]=Regions_master[[#Headers],[Julian]],1,0)</calculatedColumnFormula>
    </tableColumn>
    <tableColumn id="137" xr3:uid="{C672D737-882C-474F-94EC-74639B0070AF}" name="Katarzyna" dataDxfId="192">
      <calculatedColumnFormula>IF(Regions_master[[#This Row],[Forecaster]]=Regions_master[[#Headers],[Katarzyna]],1,0)</calculatedColumnFormula>
    </tableColumn>
    <tableColumn id="22" xr3:uid="{30A58877-E58F-4863-A2FB-C7FC448C3CA7}" name="WLD" dataDxfId="191"/>
    <tableColumn id="23" xr3:uid="{1219FF8A-EC3E-4376-A92F-2370939F3E76}" name="DVD" dataDxfId="190"/>
    <tableColumn id="24" xr3:uid="{DA9677AF-B86B-4968-A465-20C93A6D4F9C}" name="EIT" dataDxfId="189"/>
    <tableColumn id="25" xr3:uid="{FB1A8C75-8BFC-45FE-885D-16F4544C98E6}" name="DVG" dataDxfId="188"/>
    <tableColumn id="26" xr3:uid="{B63D3A76-F277-4542-9DC3-EF5E99B491CC}" name="NOA" dataDxfId="187"/>
    <tableColumn id="27" xr3:uid="{80ECE75B-B8FC-48F1-8444-327FC5100EC8}" name="DAP" dataDxfId="186"/>
    <tableColumn id="28" xr3:uid="{74BBF2AA-DD36-4D30-BE0E-6CDB5FAD1BAE}" name="EUR" dataDxfId="185"/>
    <tableColumn id="29" xr3:uid="{D7B71118-95F8-40EF-A4B5-A687F77C1A9C}" name="E28" dataDxfId="184"/>
    <tableColumn id="121" xr3:uid="{A9B0C72B-1BF8-4DDD-999F-2A060C865C03}" name="E27" dataDxfId="183"/>
    <tableColumn id="30" xr3:uid="{CBC41714-8F89-458B-BE39-E43CC148822D}" name="E19" dataDxfId="182"/>
    <tableColumn id="138" xr3:uid="{E21B7025-B80E-4B9A-A288-1A31986A70CA}" name="E20" dataDxfId="181"/>
    <tableColumn id="31" xr3:uid="{10C510A0-829A-410B-8493-01015B60BDF9}" name="OEU" dataDxfId="180"/>
    <tableColumn id="32" xr3:uid="{0F2E0F25-A1E7-4F57-A706-ADB5B18658F8}" name="MG7" dataDxfId="179"/>
    <tableColumn id="33" xr3:uid="{431BBB25-5825-45CB-9B63-32AF285F52AE}" name="ODV" dataDxfId="178"/>
    <tableColumn id="34" xr3:uid="{BD81555B-7643-4B7A-82B0-617D768CB651}" name="OCD" dataDxfId="177"/>
    <tableColumn id="35" xr3:uid="{E696D35D-D16F-42E0-8574-878B68697AC3}" name="SEE" dataDxfId="176"/>
    <tableColumn id="36" xr3:uid="{99115C58-C86A-4A3A-B930-1D9621216678}" name="CIS" dataDxfId="175"/>
    <tableColumn id="37" xr3:uid="{5B56364F-2E98-4684-809D-E12A1F79BB6F}" name="AFR" dataDxfId="174"/>
    <tableColumn id="38" xr3:uid="{D3FE3FD5-9981-4512-8346-AC4F888FB049}" name="AFN" dataDxfId="173"/>
    <tableColumn id="39" xr3:uid="{C54F09D1-9588-41CA-9942-FF9D52FD35D8}" name="AFC" dataDxfId="172"/>
    <tableColumn id="40" xr3:uid="{94B43757-C46A-4542-998B-EF3F7C56211D}" name="AFE" dataDxfId="171"/>
    <tableColumn id="41" xr3:uid="{411AFAD0-5DB4-465A-B753-9D2A14927D45}" name="AFS" dataDxfId="170"/>
    <tableColumn id="42" xr3:uid="{64470CCA-A500-40BF-8697-28C8D219CF04}" name="AFW" dataDxfId="169"/>
    <tableColumn id="43" xr3:uid="{ECCF944F-2802-4F9F-9A3E-76E836057439}" name="ASA" dataDxfId="168"/>
    <tableColumn id="44" xr3:uid="{B9D5F164-B594-46F6-8D13-DE8E33592F61}" name="EAS" dataDxfId="167"/>
    <tableColumn id="45" xr3:uid="{E6F547BF-0B35-4E08-A219-6D110FE7B261}" name="SAS" dataDxfId="166"/>
    <tableColumn id="46" xr3:uid="{BD4CF776-1A47-46B1-B6F1-3221B36B3520}" name="ASI" dataDxfId="165"/>
    <tableColumn id="47" xr3:uid="{1D376C8E-87CC-4438-B82C-AE77428AB9EC}" name="WAS" dataDxfId="164"/>
    <tableColumn id="48" xr3:uid="{F2932FDC-78A0-443C-B8C5-62AA438A299F}" name="LAC" dataDxfId="163"/>
    <tableColumn id="49" xr3:uid="{934DDA31-0BA4-4744-91F8-441F34D381C1}" name="CRB" dataDxfId="162"/>
    <tableColumn id="50" xr3:uid="{FAA8474D-59FF-44BE-96B1-C4D891C7934F}" name="MCA" dataDxfId="161"/>
    <tableColumn id="51" xr3:uid="{7AEA55A8-C586-41AE-82DA-6527B6CE7304}" name="SAM" dataDxfId="160"/>
    <tableColumn id="52" xr3:uid="{445B1FD7-BAA1-4109-9A93-0EC2DE474DEA}" name="FEX" dataDxfId="159"/>
    <tableColumn id="53" xr3:uid="{4208E352-0C77-4815-8BD2-CAA326D1AC89}" name="HIC" dataDxfId="158"/>
    <tableColumn id="54" xr3:uid="{AD17C953-12A4-4B94-930C-B952A5645B7D}" name="UPM" dataDxfId="157"/>
    <tableColumn id="55" xr3:uid="{315147CD-3B05-402E-99E7-BAECB2FAEE56}" name="LOM" dataDxfId="156"/>
    <tableColumn id="56" xr3:uid="{475ED6E6-5F35-4730-84E6-00CF3444B250}" name="LIC" dataDxfId="155"/>
    <tableColumn id="57" xr3:uid="{76E0E005-4EED-4EA6-BD5D-B3F5A5ACBC90}" name="LDC" dataDxfId="154"/>
    <tableColumn id="58" xr3:uid="{93F27BE4-1256-4DAD-BD42-E0DBCDD727E5}" name="HIP" dataDxfId="153"/>
    <tableColumn id="59" xr3:uid="{9AE23ACC-CC08-4BCD-8A76-635D5400392E}" name="PCHIP" dataDxfId="152"/>
    <tableColumn id="60" xr3:uid="{45942983-642A-4FDD-8A57-16D0AA3E3842}" name="PDHIP" dataDxfId="151"/>
    <tableColumn id="61" xr3:uid="{5B6181E6-07CD-4DFC-845B-0809F1AEB359}" name="SID" dataDxfId="150"/>
    <tableColumn id="62" xr3:uid="{59749728-A5DA-42E0-A05A-610935B26A1D}" name="LLD" dataDxfId="149"/>
    <tableColumn id="63" xr3:uid="{50440822-93C4-4E1D-8D34-5C27C1E214D7}" name="ARB" dataDxfId="148"/>
    <tableColumn id="158" xr3:uid="{D43D3A63-6F0B-4E65-BEBD-4DAEA2FEE828}" name="BRI" dataDxfId="147"/>
    <tableColumn id="64" xr3:uid="{34264144-70A3-44E7-8B37-04CD3DF478F1}" name="BRI_PLUS" dataDxfId="146"/>
    <tableColumn id="65" xr3:uid="{7AF6013D-8837-4DEC-82B1-5F66912BA666}" name="AFR49" dataDxfId="145"/>
    <tableColumn id="66" xr3:uid="{4E1C11B3-D494-42ED-9996-20E3DCF8C273}" name="AME49" dataDxfId="144"/>
    <tableColumn id="67" xr3:uid="{B3B88175-90B8-4FA8-B7D5-363533CD28C6}" name="ASA49" dataDxfId="143"/>
    <tableColumn id="68" xr3:uid="{B3BE429E-1819-40DA-B3BE-4040995C1988}" name="EUR49" dataDxfId="142"/>
    <tableColumn id="69" xr3:uid="{C70B1E86-B2B2-46E4-B660-D5B09578109E}" name="OCE49" dataDxfId="141"/>
    <tableColumn id="70" xr3:uid="{ABEE0026-EA7C-41D9-B2B5-D62775F8703D}" name="AFN49" dataDxfId="140"/>
    <tableColumn id="71" xr3:uid="{98049C3A-E9D2-4C88-A4B3-27AF079B159C}" name="SSA49" dataDxfId="139" dataCellStyle="Normal 2"/>
    <tableColumn id="72" xr3:uid="{155B8B62-68C8-413A-9F3C-C47C19A5D18E}" name="LAC49" dataDxfId="138"/>
    <tableColumn id="73" xr3:uid="{423D4D94-78B8-4592-A364-E14261DCCB4E}" name="NOA49" dataDxfId="137" dataCellStyle="Normal 2"/>
    <tableColumn id="74" xr3:uid="{1F65B840-02DF-4273-8055-043C4A27DF73}" name="CAS49" dataDxfId="136"/>
    <tableColumn id="75" xr3:uid="{1FCE0B5B-5193-4EAA-8076-6E84887EBA37}" name="EAS49" dataDxfId="135"/>
    <tableColumn id="76" xr3:uid="{BE0D09A0-7DBE-4099-BB07-66D5232834F1}" name="SEA49" dataDxfId="134"/>
    <tableColumn id="77" xr3:uid="{8D0F6700-51E3-47C9-8C08-3C41F1B46343}" name="SAS49" dataDxfId="133"/>
    <tableColumn id="78" xr3:uid="{6DB50335-D9EE-4210-A257-07A304A20DD9}" name="WAS49" dataDxfId="132"/>
    <tableColumn id="79" xr3:uid="{0B39B17A-828E-4097-A201-A067D45991A2}" name="EEU49" dataDxfId="131"/>
    <tableColumn id="80" xr3:uid="{0CEF761B-3DFF-4EA3-9175-7868E6DDA7F1}" name="NEU49" dataDxfId="130"/>
    <tableColumn id="81" xr3:uid="{B1F38B7C-6408-4150-89BA-37F2C2DE19F9}" name="SEU49" dataDxfId="129"/>
    <tableColumn id="82" xr3:uid="{BC246A0F-9D67-4418-9621-969A77E33EBA}" name="WEU49" dataDxfId="128"/>
    <tableColumn id="83" xr3:uid="{B9F8495D-2A6D-4219-832F-05F6DF947613}" name="ANZ49" dataDxfId="127"/>
    <tableColumn id="84" xr3:uid="{393F9769-D001-43FC-94DF-58789D24FEB1}" name="MEL49" dataDxfId="126"/>
    <tableColumn id="85" xr3:uid="{71047097-9128-4BE4-A1E2-54F6131D1A6F}" name="MIC49" dataDxfId="125"/>
    <tableColumn id="86" xr3:uid="{0488C0C6-9CCC-4919-96CA-437CB460942E}" name="POL49" dataDxfId="124"/>
    <tableColumn id="87" xr3:uid="{A8F99D98-2A68-4389-84AD-20BBCD547BE7}" name="AFE49" dataDxfId="123"/>
    <tableColumn id="88" xr3:uid="{505FE046-3AB7-4CD1-8589-AEF5398091FD}" name="AFM49" dataDxfId="122"/>
    <tableColumn id="89" xr3:uid="{C09C1D05-0590-4AC9-9E90-36841D1892CD}" name="AFS49" dataDxfId="121"/>
    <tableColumn id="90" xr3:uid="{06242A23-74B7-4320-A5B2-B0B921511B41}" name="AFW49" dataDxfId="120" dataCellStyle="Normal 2"/>
    <tableColumn id="91" xr3:uid="{FE9649E4-5FE0-48AB-8B4C-63C5DC626CD3}" name="CRB49" dataDxfId="119"/>
    <tableColumn id="92" xr3:uid="{C034DBCC-99C5-4B0A-9E13-C90139D1F454}" name="MCA49" dataDxfId="118"/>
    <tableColumn id="93" xr3:uid="{1A7ED9CE-2AB4-4DB8-8C2E-6944064E8E34}" name="SAM49" dataDxfId="117"/>
    <tableColumn id="94" xr3:uid="{2BF06C7B-A069-4D41-ADA7-3A6AE3739EB7}" name="G20" dataDxfId="116"/>
    <tableColumn id="95" xr3:uid="{B9156B0E-5F34-4723-81BA-492A59845D8A}" name="G77" dataDxfId="115"/>
    <tableColumn id="96" xr3:uid="{577F527D-91CF-41DB-817B-91AF8A7FCBAD}" name="CDD" dataDxfId="114"/>
    <tableColumn id="97" xr3:uid="{EB8CBBA0-B291-4ABB-9F48-7752F59E356A}" name="WAU" dataDxfId="113"/>
    <tableColumn id="98" xr3:uid="{49BEF429-E7C7-44B4-9765-A21041B9E248}" name="MAC" dataDxfId="112"/>
    <tableColumn id="99" xr3:uid="{4C55E63A-078E-479F-8049-4536B74B11AC}" name="CISF" dataDxfId="111"/>
    <tableColumn id="100" xr3:uid="{890BE0DB-FA72-4E70-8C8F-06005D4AEDBD}" name="CISN" dataDxfId="110"/>
    <tableColumn id="101" xr3:uid="{C2EE28A1-3589-4EAC-A247-526632780693}" name="AFRF" dataDxfId="109"/>
    <tableColumn id="102" xr3:uid="{C5AE6986-AF38-4AA6-BB54-9EF4A82A7150}" name="AFRN" dataDxfId="108"/>
    <tableColumn id="103" xr3:uid="{CEBE19C2-8671-4C1D-9589-8D5E1B75E721}" name="ESA" dataDxfId="107"/>
    <tableColumn id="104" xr3:uid="{F04BEEBA-5665-4B81-8BCD-F54C3BC1615C}" name="ESAF" dataDxfId="106"/>
    <tableColumn id="105" xr3:uid="{EF4F1EFE-41DB-4C0E-A8A7-B8C93D209AF4}" name="ESAN" dataDxfId="105"/>
    <tableColumn id="106" xr3:uid="{886C609E-BDEE-4FE7-BDF0-A6A69DE9168D}" name="WASF" dataDxfId="104"/>
    <tableColumn id="107" xr3:uid="{5C1F330B-B845-4C93-828A-4ED36DEAA48D}" name="WASN" dataDxfId="103"/>
    <tableColumn id="108" xr3:uid="{15A838FC-D4E1-4A63-9C65-166661CC2B48}" name="LACF" dataDxfId="102"/>
    <tableColumn id="109" xr3:uid="{69D8BDBD-2425-485E-B453-1DC6A9870DB7}" name="LACN" dataDxfId="101"/>
    <tableColumn id="110" xr3:uid="{EE916D7B-234F-435B-865C-572F4DF95950}" name="AFXL" dataDxfId="100"/>
    <tableColumn id="111" xr3:uid="{9518AC02-6754-415D-A296-1C827BC6D809}" name="NAXL" dataDxfId="99"/>
    <tableColumn id="112" xr3:uid="{B0C26A0E-6D86-4770-916E-512A4906DBE6}" name="EAXC" dataDxfId="98"/>
    <tableColumn id="113" xr3:uid="{DA41B706-3DCA-451C-9179-D3FD6738807D}" name="SAXI" dataDxfId="97"/>
    <tableColumn id="114" xr3:uid="{DC8E17A4-D34D-4D86-8E42-F41018FFB665}" name="WAXTI" dataDxfId="96"/>
    <tableColumn id="115" xr3:uid="{9B31C727-1698-4D7C-8C19-ECCD1787357A}" name="CISXR" dataDxfId="95"/>
    <tableColumn id="116" xr3:uid="{A7BD4832-72A6-46E6-A558-73A18072B9CD}" name="WLDXV" dataDxfId="94"/>
    <tableColumn id="117" xr3:uid="{3475962F-9DE8-43B1-8225-979C0FB05985}" name="DVGXV" dataDxfId="93"/>
    <tableColumn id="118" xr3:uid="{190634B3-9ACA-4EA5-BD9C-DF7DD135279C}" name="LACXV" dataDxfId="92"/>
    <tableColumn id="119" xr3:uid="{F7EE77AE-8F26-4D5A-A85A-612D75738659}" name="SAMXV" dataDxfId="91"/>
    <tableColumn id="120" xr3:uid="{F5CA4EC0-EF94-409B-8DA8-709B68EA0C0D}" name="LACFXV" dataDxfId="90"/>
    <tableColumn id="122" xr3:uid="{3DDA7B33-9373-4965-B9E0-A72DBC410BD3}" name="ASEAN" dataDxfId="89"/>
    <tableColumn id="123" xr3:uid="{ECAD8DF4-0A78-4291-9977-CFB187DE765E}" name="MCS" dataDxfId="88"/>
    <tableColumn id="124" xr3:uid="{36FD2018-6388-4FC0-9707-230B5F19166E}" name="GCC" dataDxfId="87"/>
    <tableColumn id="125" xr3:uid="{A81A9675-D5E0-4762-BB8C-24A337E806B1}" name="SADC" dataDxfId="86"/>
    <tableColumn id="126" xr3:uid="{75CDB2F1-9E08-4573-B77A-E17A05CEAB7A}" name="ECOWAS" dataDxfId="85"/>
    <tableColumn id="127" xr3:uid="{C1CF7B0E-AFC8-4353-811D-3CA21E8EFCE6}" name="EAC" dataDxfId="84"/>
    <tableColumn id="128" xr3:uid="{C419A29E-D468-4848-8C64-AB2898B80BF1}" name="ECCAS" dataDxfId="83"/>
    <tableColumn id="129" xr3:uid="{544419A5-D787-4993-9E27-5F101B9D43B1}" name="SAARC" dataDxfId="82"/>
    <tableColumn id="130" xr3:uid="{2285007B-A563-4527-85EE-D35CC36916CC}" name="HIFEM" dataDxfId="81"/>
    <tableColumn id="131" xr3:uid="{E1D82B94-9380-4490-B80A-293DA194D6F5}" name="LOFEM" dataDxfId="80"/>
    <tableColumn id="132" xr3:uid="{356BA7C3-56DC-4426-9004-0B5DBF939204}" name="TRSMD" dataDxfId="79"/>
    <tableColumn id="133" xr3:uid="{6DDFEBA2-50AA-47E5-B9A2-AA83A9045005}" name="MNFD" dataDxfId="78"/>
    <tableColumn id="134" xr3:uid="{F7EED211-BE46-41A4-ACF2-42A5C14E5EBC}" name="AGRID" dataDxfId="77"/>
    <tableColumn id="135" xr3:uid="{C6415B3C-76E3-4FC2-863E-C57A3685E110}" name="OILD" dataDxfId="76"/>
    <tableColumn id="15" xr3:uid="{D114B24F-74D9-4ED7-8383-FF5307BF36F0}" name="SIDXSGP" dataDxfId="75"/>
    <tableColumn id="139" xr3:uid="{C0E0AA2B-5C62-4D12-AEF9-EED4BB8F388F}" name="LDCXSA" dataDxfId="74"/>
    <tableColumn id="140" xr3:uid="{F92F5774-A564-4FF6-95E5-2FD7DFE566E5}" name="AFXLS" dataDxfId="73"/>
    <tableColumn id="141" xr3:uid="{A72A3D45-CED6-4888-87A3-45D9E7376723}" name="NAXLS" dataDxfId="72"/>
    <tableColumn id="142" xr3:uid="{32F1B30D-3A4E-4DE5-BFF3-3584B432B913}" name="SASXA" dataDxfId="71"/>
    <tableColumn id="143" xr3:uid="{3BDBC919-E3A9-4861-8BA6-6C354E25E8F3}" name="ESAXA" dataDxfId="70"/>
    <tableColumn id="144" xr3:uid="{3A981268-CAD6-4AE5-8543-C1EBB0FB006D}" name="LACXVA" dataDxfId="69"/>
    <tableColumn id="146" xr3:uid="{B57F1E0C-4101-4C84-AAD7-E558383BA094}" name="WASXP" dataDxfId="68"/>
    <tableColumn id="147" xr3:uid="{58F89343-4994-4DD8-8D39-F212E1EF715F}" name="AFXS" dataDxfId="67"/>
    <tableColumn id="152" xr3:uid="{34800794-EEE7-4507-B1F7-3A4EAB0B70E6}" name="MERCOSUR" dataDxfId="66"/>
    <tableColumn id="153" xr3:uid="{A637E8A9-5218-431C-B2B1-C0C84626933F}" name="UPMXCHN" dataDxfId="65"/>
    <tableColumn id="154" xr3:uid="{7F9D51FB-4586-481C-8DFE-6296737F4F1A}" name="CRBXG" dataDxfId="64"/>
    <tableColumn id="155" xr3:uid="{97B8FB2D-6EF6-46EE-8139-CC2F3FCCDA98}" name="LLDXA" dataDxfId="63"/>
    <tableColumn id="156" xr3:uid="{09EF898D-8122-4371-8FB3-A2CC968F96C7}" name="NAXS" dataDxfId="62"/>
    <tableColumn id="157" xr3:uid="{74C82539-5E44-4657-BB55-AC3755B9FE1F}" name="SAMXVA" dataDxfId="61"/>
    <tableColumn id="160" xr3:uid="{5D611795-FE85-49AA-9019-E86B94C0B088}" name="NACD" dataDxfId="60"/>
    <tableColumn id="161" xr3:uid="{AB49D2D3-3E91-49CE-906B-F39F5E5E351F}" name="CISXU" dataDxfId="59"/>
    <tableColumn id="162" xr3:uid="{FBEF799B-C05B-4547-9C6A-42101F352860}" name="EITXU" dataDxfId="58"/>
    <tableColumn id="163" xr3:uid="{92C27476-A0D2-4853-8B89-C5BEFFBC4C1B}" name="LOFEMXU" dataDxfId="57"/>
    <tableColumn id="164" xr3:uid="{8126BB96-5CE5-4953-A7C9-C873BD95F9C6}" name="MNFDXU" dataDxfId="56"/>
    <tableColumn id="165" xr3:uid="{45D069C3-A725-4D5E-8595-BBF84ED15C89}" name="CISXRU" dataDxfId="55"/>
    <tableColumn id="166" xr3:uid="{FFC893B0-0FBA-4CEE-82BC-41EE0546A3B2}" name="WLDXUV" dataDxfId="54"/>
    <tableColumn id="150" xr3:uid="{CAE94E58-C0B5-43A4-9B0E-513836ED9BB4}" name="WLDXASV" dataDxfId="53"/>
    <tableColumn id="149" xr3:uid="{E236A356-0E9D-45C2-BFF3-8FAC816DE171}" name="WLDXAS" dataDxfId="52"/>
    <tableColumn id="148" xr3:uid="{AE2CD670-D633-4AF1-9F1F-951065AA9340}" name="WLDXAAPSV" dataDxfId="51"/>
    <tableColumn id="145" xr3:uid="{2B917AEF-7901-4BE4-A1BF-FE51FAD389A8}" name="WLDXAAPS" dataDxfId="50"/>
    <tableColumn id="173" xr3:uid="{BFA90B2C-BE7D-4D5F-ABBF-067D7561207E}" name="DVGXAAPS" dataDxfId="49"/>
    <tableColumn id="172" xr3:uid="{E445A315-8EFA-4646-B568-CECEE85CB820}" name="DVGXAAPSV" dataDxfId="48"/>
    <tableColumn id="159" xr3:uid="{F7CB6589-B237-4D22-991A-F96ADC8B6C69}" name="DVGXAS" dataDxfId="47"/>
    <tableColumn id="151" xr3:uid="{AAFE86CA-7802-41E8-BA5B-CA9940E1B75B}" name="DVGXASV" dataDxfId="46"/>
    <tableColumn id="167" xr3:uid="{0A00ED3F-10A2-4D86-947F-32D89C958B2B}" name="CISNXU" dataDxfId="45"/>
    <tableColumn id="168" xr3:uid="{C014EE55-68F4-4A59-8271-086B77555E55}" name="EEU49XU" dataDxfId="44"/>
    <tableColumn id="169" xr3:uid="{9F55CD98-3463-48CE-90DF-79AD1BD3F151}" name="EUR49XU" dataDxfId="43"/>
    <tableColumn id="171" xr3:uid="{AF559C67-B928-4201-B8E6-C95C5C4AA630}" name="AU" dataDxfId="42"/>
    <tableColumn id="178" xr3:uid="{D5C1E0B9-B54F-477F-9E4B-D5D075CDC833}" name="ASAXAP" dataDxfId="41"/>
    <tableColumn id="179" xr3:uid="{1FD64090-E1CB-4FF4-8C9A-88544E39724B}" name="SAXAI" dataDxfId="40"/>
    <tableColumn id="180" xr3:uid="{509716D6-07A6-4CDA-8388-1E530CE98F20}" name="ESAXCI" dataDxfId="39"/>
    <tableColumn id="181" xr3:uid="{802B98C5-82CB-4030-999D-057E08B3D2A7}" name="ESAXACI" dataDxfId="38"/>
    <tableColumn id="176" xr3:uid="{738ECCD9-EF9F-4224-9728-D6CFDC2CA563}" name="WASXIPT" dataDxfId="37"/>
    <tableColumn id="177" xr3:uid="{E79803BC-2C87-4BAA-ABF7-32E4ED8D4F60}" name="LACXA" dataDxfId="36"/>
    <tableColumn id="175" xr3:uid="{B15FDEDA-20CA-421E-B630-7A2BBAF14E25}" name="SAMXA" dataDxfId="35"/>
    <tableColumn id="174" xr3:uid="{B0E2A149-9638-4CC3-976F-8D2A9F6B1A13}" name="AFRNXS" dataDxfId="34"/>
    <tableColumn id="184" xr3:uid="{6410AEC4-71A0-453A-96D7-4217D772EC61}" name="ESANXA" dataDxfId="33"/>
    <tableColumn id="185" xr3:uid="{5A9ECD85-8411-4CF0-AC59-E1E8BDF250EC}" name="WASNXP" dataDxfId="32"/>
    <tableColumn id="183" xr3:uid="{2A19779F-A3DB-434A-80AD-E93326EC996C}" name="LACNXA" dataDxfId="31"/>
    <tableColumn id="182" xr3:uid="{81479895-87E0-4228-889B-D6253A4780E6}" name="AFN49XLS" dataDxfId="30"/>
    <tableColumn id="194" xr3:uid="{60D30175-4CAC-46A5-8823-138CD0C76C3A}" name="AFR49XLS" dataDxfId="29"/>
    <tableColumn id="195" xr3:uid="{22F3EDA1-B421-4947-BBDF-7349E91668BD}" name="ASA49XAP" dataDxfId="28"/>
    <tableColumn id="196" xr3:uid="{F74A396F-895B-451D-AFA5-8F9C81E60CF6}" name="SAS49XA" dataDxfId="27"/>
    <tableColumn id="197" xr3:uid="{A76208C8-7759-4AB4-A93F-E52D3A0D8968}" name="WAS49XP" dataDxfId="26"/>
    <tableColumn id="190" xr3:uid="{36814940-092A-4108-9DE2-CB8751A8AEBC}" name="LOFEMXAPS" dataDxfId="25"/>
    <tableColumn id="191" xr3:uid="{55452318-650C-4A24-BCAA-00BE969FAAA9}" name="CDDXAS" dataDxfId="24"/>
    <tableColumn id="192" xr3:uid="{CA185E8F-96C4-4E72-8D3D-A548B94ED3B0}" name="AGRIDXAS" dataDxfId="23"/>
    <tableColumn id="193" xr3:uid="{11AB589A-80DD-4956-ACF3-57CAFA6B7907}" name="MNFDXP" dataDxfId="22"/>
    <tableColumn id="188" xr3:uid="{8D2197C9-EA93-4BA8-A910-1865EAC5FD2C}" name="OILDXS" dataDxfId="21"/>
    <tableColumn id="189" xr3:uid="{44A8C4BC-61C0-4B7F-85A8-2E421C2C0CE5}" name="LOMXP" dataDxfId="20"/>
    <tableColumn id="187" xr3:uid="{A8439310-1B81-42F0-97F7-9980B650C1EB}" name="LICXAS" dataDxfId="19"/>
    <tableColumn id="186" xr3:uid="{1C44BA8B-4F96-49F1-9F03-32CD49663A74}" name="G77XAPS" dataDxfId="18"/>
    <tableColumn id="170" xr3:uid="{8120A41A-8E7D-4C3F-8032-289AF14C28D7}" name="LDCXS" dataDxfId="17"/>
    <tableColumn id="198" xr3:uid="{A96C5099-CF38-4499-8DC8-7CC4F56CC794}" name="ARBXPS" dataDxfId="16"/>
    <tableColumn id="199" xr3:uid="{C4AF6AC4-CF71-4DED-808A-7D76DBFCCC19}" name="AUXS" dataDxfId="15"/>
    <tableColumn id="200" xr3:uid="{0DD6B34B-D9CF-4EC9-9307-D14D1B160402}" name="SAARCXA" dataDxfId="14"/>
    <tableColumn id="202" xr3:uid="{05438332-FFB6-4917-8481-DFE5B154C056}" name="MDC" dataDxfId="13"/>
    <tableColumn id="205" xr3:uid="{40F85D7C-95D1-464E-9EDF-8F42573C85E3}" name="MIDC" dataDxfId="12">
      <calculatedColumnFormula>BE2+BF2</calculatedColumnFormula>
    </tableColumn>
    <tableColumn id="204" xr3:uid="{E851CEC9-974D-4F6E-B729-51BB94DB9B79}" name="MIDCXP" dataDxfId="11"/>
    <tableColumn id="203" xr3:uid="{36FC0951-3209-44A9-A3C2-199E515623B0}" name="MIDCXA" dataDxfId="10"/>
    <tableColumn id="201" xr3:uid="{391DB824-C704-4FC7-AA9C-CC626C4D6F82}" name="MIDCXAP" dataDxfId="9"/>
    <tableColumn id="206" xr3:uid="{447B180D-637E-48A3-BC87-35197952F922}" name="SIDPAC" dataDxfId="8"/>
    <tableColumn id="207" xr3:uid="{54C84A8E-5B6F-42F9-B9A4-1ED07327C60B}" name="SIDAIS" dataDxfId="7"/>
    <tableColumn id="208" xr3:uid="{03EC4375-713D-484D-BE69-22A1A4ECAB3D}" name="SIDAISXSGP" dataDxfId="6"/>
    <tableColumn id="209" xr3:uid="{CDB6A9FC-9667-4801-BBCF-772E2AFD40E1}" name="SIDCAR" dataDxfId="5"/>
    <tableColumn id="210" xr3:uid="{B482F07A-0EB3-46DE-B563-367FDAE12399}" name="SIDCARXG" dataDxfId="4"/>
    <tableColumn id="211" xr3:uid="{771E1818-E0E5-4988-9255-B85DB5649D8F}" name="MIDCXC" dataDxfId="3"/>
    <tableColumn id="212" xr3:uid="{290D210F-5014-4B80-9C06-C628CAC7AD90}" name="MIDCXCP" dataDxfId="2"/>
    <tableColumn id="213" xr3:uid="{3E20637A-FBA8-49F1-843B-2311594E7986}" name="UPMXA" dataDxfId="1"/>
    <tableColumn id="214" xr3:uid="{94A2E195-50E2-4297-BA5B-DEE6DEC89599}" name="S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477C-B5C9-4B1B-AAA3-843455F9483B}">
  <dimension ref="A1:HG372"/>
  <sheetViews>
    <sheetView tabSelected="1" zoomScale="115" zoomScaleNormal="115" workbookViewId="0">
      <pane xSplit="4" ySplit="1" topLeftCell="E18" activePane="bottomRight" state="frozen"/>
      <selection pane="topRight" activeCell="E1" sqref="E1"/>
      <selection pane="bottomLeft" activeCell="A2" sqref="A2"/>
      <selection pane="bottomRight" sqref="A1:XFD1"/>
    </sheetView>
  </sheetViews>
  <sheetFormatPr defaultColWidth="9.21875" defaultRowHeight="10.199999999999999" x14ac:dyDescent="0.2"/>
  <cols>
    <col min="1" max="1" width="42.21875" style="1" customWidth="1"/>
    <col min="2" max="6" width="8.77734375" style="1" customWidth="1"/>
    <col min="7" max="7" width="36.21875" style="1" customWidth="1"/>
    <col min="8" max="8" width="14.21875" style="1" customWidth="1"/>
    <col min="9" max="9" width="30.77734375" style="1" customWidth="1"/>
    <col min="10" max="10" width="7.5546875" style="1" customWidth="1"/>
    <col min="11" max="11" width="8.77734375" style="1" customWidth="1"/>
    <col min="12" max="12" width="7.77734375" style="1" customWidth="1"/>
    <col min="13" max="13" width="11.5546875" style="1" customWidth="1"/>
    <col min="14" max="15" width="9.21875" style="1"/>
    <col min="16" max="16" width="10.21875" style="1" customWidth="1"/>
    <col min="17" max="17" width="11" style="1" customWidth="1"/>
    <col min="18" max="22" width="9.21875" style="1"/>
    <col min="23" max="23" width="8.21875" style="1" customWidth="1"/>
    <col min="24" max="200" width="7.77734375" style="1" customWidth="1"/>
    <col min="201" max="207" width="7.21875" style="1" customWidth="1"/>
    <col min="208" max="208" width="8.21875" style="1" customWidth="1"/>
    <col min="209" max="213" width="7.21875" style="1" customWidth="1"/>
    <col min="214" max="16384" width="9.21875" style="1"/>
  </cols>
  <sheetData>
    <row r="1" spans="1:214" s="2" customFormat="1" ht="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299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</row>
    <row r="2" spans="1:214" x14ac:dyDescent="0.2">
      <c r="A2" s="1" t="s">
        <v>213</v>
      </c>
      <c r="B2" s="1" t="s">
        <v>213</v>
      </c>
      <c r="D2" s="1" t="s">
        <v>214</v>
      </c>
      <c r="E2" s="1" t="s">
        <v>215</v>
      </c>
      <c r="F2" s="1">
        <v>0</v>
      </c>
      <c r="G2" s="1" t="s">
        <v>216</v>
      </c>
      <c r="H2" s="1" t="s">
        <v>217</v>
      </c>
      <c r="I2" s="1" t="s">
        <v>218</v>
      </c>
      <c r="J2" s="1">
        <v>4</v>
      </c>
      <c r="K2" s="1" t="s">
        <v>24</v>
      </c>
      <c r="L2" s="1" t="s">
        <v>219</v>
      </c>
      <c r="M2" s="1" t="s">
        <v>15</v>
      </c>
      <c r="N2" s="1">
        <f>IF(Regions_master[[#This Row],[Forecaster]]=Regions_master[[#Headers],[Grigor]],1,0)</f>
        <v>0</v>
      </c>
      <c r="O2" s="1">
        <f>IF(Regions_master[[#This Row],[Forecaster]]=Regions_master[[#Headers],[Ingo]],1,0)</f>
        <v>0</v>
      </c>
      <c r="P2" s="1">
        <f>IF(Regions_master[[#This Row],[Forecaster]]=Regions_master[[#Headers],[Danyira]],1,0)</f>
        <v>1</v>
      </c>
      <c r="Q2" s="1">
        <f>IF(Regions_master[[#This Row],[Forecaster]]=Regions_master[[#Headers],[Sebastian]],1,0)</f>
        <v>0</v>
      </c>
      <c r="R2" s="1">
        <f>IF(Regions_master[[#This Row],[Forecaster]]=Regions_master[[#Headers],[Yasu]],1,0)</f>
        <v>0</v>
      </c>
      <c r="S2" s="1">
        <f>IF(Regions_master[[#This Row],[Forecaster]]=Regions_master[[#Headers],[Zhenqian]],1,0)</f>
        <v>0</v>
      </c>
      <c r="T2" s="1">
        <f>IF(Regions_master[[#This Row],[Forecaster]]=Regions_master[[#Headers],[Berna]],1,0)</f>
        <v>0</v>
      </c>
      <c r="U2" s="1">
        <f>IF(Regions_master[[#This Row],[Forecaster]]=Regions_master[[#Headers],[Julian]],1,0)</f>
        <v>0</v>
      </c>
      <c r="V2" s="1">
        <f>IF(Regions_master[[#This Row],[Forecaster]]=Regions_master[[#Headers],[Katarzyna]],1,0)</f>
        <v>0</v>
      </c>
      <c r="W2" s="1">
        <v>1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1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1</v>
      </c>
      <c r="BI2" s="1">
        <v>1</v>
      </c>
      <c r="BJ2" s="1">
        <v>1</v>
      </c>
      <c r="BK2" s="1">
        <v>0</v>
      </c>
      <c r="BL2" s="1">
        <v>0</v>
      </c>
      <c r="BM2" s="1">
        <v>1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1</v>
      </c>
      <c r="CV2" s="1">
        <v>1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1</v>
      </c>
      <c r="DD2" s="1">
        <v>0</v>
      </c>
      <c r="DE2" s="1">
        <v>1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1</v>
      </c>
      <c r="DN2" s="1">
        <v>0</v>
      </c>
      <c r="DO2" s="1">
        <v>0</v>
      </c>
      <c r="DP2" s="1">
        <v>1</v>
      </c>
      <c r="DQ2" s="1">
        <v>1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1</v>
      </c>
      <c r="EC2" s="1">
        <v>0</v>
      </c>
      <c r="ED2" s="1">
        <v>1</v>
      </c>
      <c r="EE2" s="1">
        <v>0</v>
      </c>
      <c r="EF2" s="1">
        <v>0</v>
      </c>
      <c r="EG2" s="1">
        <v>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1</v>
      </c>
      <c r="FB2" s="1">
        <v>0</v>
      </c>
      <c r="FC2" s="1">
        <v>0</v>
      </c>
      <c r="FD2" s="1">
        <v>1</v>
      </c>
      <c r="FE2" s="1">
        <v>1</v>
      </c>
      <c r="FF2" s="1">
        <v>1</v>
      </c>
      <c r="FG2" s="1">
        <v>0</v>
      </c>
      <c r="FH2" s="1">
        <v>0</v>
      </c>
      <c r="FI2" s="1">
        <v>0</v>
      </c>
      <c r="FJ2" s="1">
        <v>0</v>
      </c>
      <c r="FK2" s="1">
        <v>1</v>
      </c>
      <c r="FL2" s="1">
        <v>1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1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1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</row>
    <row r="3" spans="1:214" x14ac:dyDescent="0.2">
      <c r="A3" s="1" t="s">
        <v>220</v>
      </c>
      <c r="B3" s="1" t="s">
        <v>220</v>
      </c>
      <c r="D3" s="1" t="s">
        <v>221</v>
      </c>
      <c r="E3" s="1" t="s">
        <v>215</v>
      </c>
      <c r="F3" s="1">
        <v>0</v>
      </c>
      <c r="G3" s="1" t="s">
        <v>222</v>
      </c>
      <c r="H3" s="1" t="s">
        <v>223</v>
      </c>
      <c r="I3" s="1" t="s">
        <v>222</v>
      </c>
      <c r="J3" s="1">
        <v>8</v>
      </c>
      <c r="K3" s="1" t="s">
        <v>23</v>
      </c>
      <c r="L3" s="1" t="s">
        <v>224</v>
      </c>
      <c r="M3" s="1" t="s">
        <v>13</v>
      </c>
      <c r="N3" s="1">
        <f>IF(Regions_master[[#This Row],[Forecaster]]=Regions_master[[#Headers],[Grigor]],1,0)</f>
        <v>1</v>
      </c>
      <c r="O3" s="1">
        <f>IF(Regions_master[[#This Row],[Forecaster]]=Regions_master[[#Headers],[Ingo]],1,0)</f>
        <v>0</v>
      </c>
      <c r="P3" s="1">
        <f>IF(Regions_master[[#This Row],[Forecaster]]=Regions_master[[#Headers],[Danyira]],1,0)</f>
        <v>0</v>
      </c>
      <c r="Q3" s="1">
        <f>IF(Regions_master[[#This Row],[Forecaster]]=Regions_master[[#Headers],[Sebastian]],1,0)</f>
        <v>0</v>
      </c>
      <c r="R3" s="1">
        <f>IF(Regions_master[[#This Row],[Forecaster]]=Regions_master[[#Headers],[Yasu]],1,0)</f>
        <v>0</v>
      </c>
      <c r="S3" s="1">
        <f>IF(Regions_master[[#This Row],[Forecaster]]=Regions_master[[#Headers],[Zhenqian]],1,0)</f>
        <v>0</v>
      </c>
      <c r="T3" s="1">
        <f>IF(Regions_master[[#This Row],[Forecaster]]=Regions_master[[#Headers],[Berna]],1,0)</f>
        <v>0</v>
      </c>
      <c r="U3" s="1">
        <f>IF(Regions_master[[#This Row],[Forecaster]]=Regions_master[[#Headers],[Julian]],1,0)</f>
        <v>0</v>
      </c>
      <c r="V3" s="1">
        <f>IF(Regions_master[[#This Row],[Forecaster]]=Regions_master[[#Headers],[Katarzyna]],1,0)</f>
        <v>0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1</v>
      </c>
      <c r="ED3" s="1">
        <v>0</v>
      </c>
      <c r="EE3" s="1">
        <v>1</v>
      </c>
      <c r="EF3" s="1">
        <v>1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1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1</v>
      </c>
      <c r="FA3" s="1">
        <v>1</v>
      </c>
      <c r="FB3" s="1">
        <v>1</v>
      </c>
      <c r="FC3" s="1">
        <v>0</v>
      </c>
      <c r="FD3" s="1">
        <v>1</v>
      </c>
      <c r="FE3" s="1">
        <v>1</v>
      </c>
      <c r="FF3" s="1">
        <v>1</v>
      </c>
      <c r="FG3" s="1">
        <v>1</v>
      </c>
      <c r="FH3" s="1">
        <v>1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1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1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1</v>
      </c>
      <c r="GU3" s="1">
        <v>1</v>
      </c>
      <c r="GV3" s="1">
        <v>1</v>
      </c>
      <c r="GW3" s="1">
        <v>1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1</v>
      </c>
      <c r="HD3" s="1">
        <v>1</v>
      </c>
      <c r="HE3" s="1">
        <v>1</v>
      </c>
      <c r="HF3" s="1">
        <v>0</v>
      </c>
    </row>
    <row r="4" spans="1:214" x14ac:dyDescent="0.2">
      <c r="A4" s="1" t="s">
        <v>225</v>
      </c>
      <c r="B4" s="1" t="s">
        <v>225</v>
      </c>
      <c r="D4" s="1" t="s">
        <v>226</v>
      </c>
      <c r="E4" s="1" t="s">
        <v>215</v>
      </c>
      <c r="F4" s="1">
        <v>0</v>
      </c>
      <c r="G4" s="1" t="s">
        <v>227</v>
      </c>
      <c r="H4" s="1" t="s">
        <v>228</v>
      </c>
      <c r="I4" s="1" t="s">
        <v>229</v>
      </c>
      <c r="J4" s="1">
        <v>12</v>
      </c>
      <c r="K4" s="1" t="s">
        <v>24</v>
      </c>
      <c r="L4" s="1" t="s">
        <v>230</v>
      </c>
      <c r="M4" s="1" t="s">
        <v>17</v>
      </c>
      <c r="N4" s="1">
        <f>IF(Regions_master[[#This Row],[Forecaster]]=Regions_master[[#Headers],[Grigor]],1,0)</f>
        <v>0</v>
      </c>
      <c r="O4" s="1">
        <f>IF(Regions_master[[#This Row],[Forecaster]]=Regions_master[[#Headers],[Ingo]],1,0)</f>
        <v>0</v>
      </c>
      <c r="P4" s="1">
        <f>IF(Regions_master[[#This Row],[Forecaster]]=Regions_master[[#Headers],[Danyira]],1,0)</f>
        <v>0</v>
      </c>
      <c r="Q4" s="1">
        <f>IF(Regions_master[[#This Row],[Forecaster]]=Regions_master[[#Headers],[Sebastian]],1,0)</f>
        <v>0</v>
      </c>
      <c r="R4" s="1">
        <f>IF(Regions_master[[#This Row],[Forecaster]]=Regions_master[[#Headers],[Yasu]],1,0)</f>
        <v>1</v>
      </c>
      <c r="S4" s="1">
        <f>IF(Regions_master[[#This Row],[Forecaster]]=Regions_master[[#Headers],[Zhenqian]],1,0)</f>
        <v>0</v>
      </c>
      <c r="T4" s="1">
        <f>IF(Regions_master[[#This Row],[Forecaster]]=Regions_master[[#Headers],[Berna]],1,0)</f>
        <v>0</v>
      </c>
      <c r="U4" s="1">
        <f>IF(Regions_master[[#This Row],[Forecaster]]=Regions_master[[#Headers],[Julian]],1,0)</f>
        <v>0</v>
      </c>
      <c r="V4" s="1">
        <f>IF(Regions_master[[#This Row],[Forecaster]]=Regions_master[[#Headers],[Katarzyna]],1,0)</f>
        <v>0</v>
      </c>
      <c r="W4" s="1">
        <v>1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0</v>
      </c>
      <c r="BP4" s="1">
        <v>0</v>
      </c>
      <c r="BQ4" s="1">
        <v>1</v>
      </c>
      <c r="BR4" s="1">
        <v>0</v>
      </c>
      <c r="BS4" s="1">
        <v>0</v>
      </c>
      <c r="BT4" s="1">
        <v>0</v>
      </c>
      <c r="BU4" s="1">
        <v>0</v>
      </c>
      <c r="BV4" s="1">
        <v>1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1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1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1</v>
      </c>
      <c r="DQ4" s="1">
        <v>1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1</v>
      </c>
      <c r="EE4" s="1">
        <v>0</v>
      </c>
      <c r="EF4" s="1">
        <v>0</v>
      </c>
      <c r="EG4" s="1">
        <v>0</v>
      </c>
      <c r="EH4" s="1">
        <v>1</v>
      </c>
      <c r="EI4" s="1">
        <v>0</v>
      </c>
      <c r="EJ4" s="1">
        <v>0</v>
      </c>
      <c r="EK4" s="1">
        <v>1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1</v>
      </c>
      <c r="ER4" s="1">
        <v>0</v>
      </c>
      <c r="ES4" s="1">
        <v>1</v>
      </c>
      <c r="ET4" s="1">
        <v>0</v>
      </c>
      <c r="EU4" s="1">
        <v>0</v>
      </c>
      <c r="EV4" s="1">
        <v>1</v>
      </c>
      <c r="EW4" s="1">
        <v>0</v>
      </c>
      <c r="EX4" s="1">
        <v>1</v>
      </c>
      <c r="EY4" s="1">
        <v>0</v>
      </c>
      <c r="EZ4" s="1">
        <v>0</v>
      </c>
      <c r="FA4" s="1">
        <v>1</v>
      </c>
      <c r="FB4" s="1">
        <v>0</v>
      </c>
      <c r="FC4" s="1">
        <v>0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>
        <v>1</v>
      </c>
      <c r="FK4" s="1">
        <v>1</v>
      </c>
      <c r="FL4" s="1">
        <v>1</v>
      </c>
      <c r="FM4" s="1">
        <v>0</v>
      </c>
      <c r="FN4" s="1">
        <v>0</v>
      </c>
      <c r="FO4" s="1">
        <v>0</v>
      </c>
      <c r="FP4" s="1">
        <v>1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1</v>
      </c>
      <c r="GC4" s="1">
        <v>1</v>
      </c>
      <c r="GD4" s="1">
        <v>0</v>
      </c>
      <c r="GE4" s="1">
        <v>0</v>
      </c>
      <c r="GF4" s="1">
        <v>0</v>
      </c>
      <c r="GG4" s="1">
        <v>1</v>
      </c>
      <c r="GH4" s="1">
        <v>1</v>
      </c>
      <c r="GI4" s="1">
        <v>0</v>
      </c>
      <c r="GJ4" s="1">
        <v>0</v>
      </c>
      <c r="GK4" s="1">
        <v>1</v>
      </c>
      <c r="GL4" s="1">
        <v>0</v>
      </c>
      <c r="GM4" s="1">
        <v>0</v>
      </c>
      <c r="GN4" s="1">
        <v>1</v>
      </c>
      <c r="GO4" s="1">
        <v>0</v>
      </c>
      <c r="GP4" s="1">
        <v>1</v>
      </c>
      <c r="GQ4" s="1">
        <v>1</v>
      </c>
      <c r="GR4" s="1">
        <v>0</v>
      </c>
      <c r="GS4" s="1">
        <v>0</v>
      </c>
      <c r="GT4" s="1">
        <v>1</v>
      </c>
      <c r="GU4" s="1">
        <v>1</v>
      </c>
      <c r="GV4" s="1">
        <v>1</v>
      </c>
      <c r="GW4" s="1">
        <v>1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1</v>
      </c>
      <c r="HD4" s="1">
        <v>1</v>
      </c>
      <c r="HE4" s="1">
        <v>1</v>
      </c>
      <c r="HF4" s="1">
        <v>0</v>
      </c>
    </row>
    <row r="5" spans="1:214" x14ac:dyDescent="0.2">
      <c r="A5" s="1" t="s">
        <v>231</v>
      </c>
      <c r="B5" s="1" t="s">
        <v>231</v>
      </c>
      <c r="D5" s="1" t="s">
        <v>232</v>
      </c>
      <c r="E5" s="1" t="s">
        <v>215</v>
      </c>
      <c r="F5" s="1">
        <v>0</v>
      </c>
      <c r="G5" s="1" t="s">
        <v>227</v>
      </c>
      <c r="H5" s="1" t="s">
        <v>233</v>
      </c>
      <c r="I5" s="1" t="s">
        <v>234</v>
      </c>
      <c r="J5" s="1">
        <v>24</v>
      </c>
      <c r="K5" s="1" t="s">
        <v>24</v>
      </c>
      <c r="L5" s="1" t="s">
        <v>235</v>
      </c>
      <c r="M5" s="1" t="s">
        <v>20</v>
      </c>
      <c r="N5" s="1">
        <f>IF(Regions_master[[#This Row],[Forecaster]]=Regions_master[[#Headers],[Grigor]],1,0)</f>
        <v>0</v>
      </c>
      <c r="O5" s="1">
        <f>IF(Regions_master[[#This Row],[Forecaster]]=Regions_master[[#Headers],[Ingo]],1,0)</f>
        <v>0</v>
      </c>
      <c r="P5" s="1">
        <f>IF(Regions_master[[#This Row],[Forecaster]]=Regions_master[[#Headers],[Danyira]],1,0)</f>
        <v>0</v>
      </c>
      <c r="Q5" s="1">
        <f>IF(Regions_master[[#This Row],[Forecaster]]=Regions_master[[#Headers],[Sebastian]],1,0)</f>
        <v>0</v>
      </c>
      <c r="R5" s="1">
        <f>IF(Regions_master[[#This Row],[Forecaster]]=Regions_master[[#Headers],[Yasu]],1,0)</f>
        <v>0</v>
      </c>
      <c r="S5" s="1">
        <f>IF(Regions_master[[#This Row],[Forecaster]]=Regions_master[[#Headers],[Zhenqian]],1,0)</f>
        <v>0</v>
      </c>
      <c r="T5" s="1">
        <f>IF(Regions_master[[#This Row],[Forecaster]]=Regions_master[[#Headers],[Berna]],1,0)</f>
        <v>0</v>
      </c>
      <c r="U5" s="1">
        <f>IF(Regions_master[[#This Row],[Forecaster]]=Regions_master[[#Headers],[Julian]],1,0)</f>
        <v>0</v>
      </c>
      <c r="V5" s="1">
        <f>IF(Regions_master[[#This Row],[Forecaster]]=Regions_master[[#Headers],[Katarzyna]],1,0)</f>
        <v>1</v>
      </c>
      <c r="W5" s="1">
        <v>1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v>1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1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1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1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1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1</v>
      </c>
      <c r="DQ5" s="1">
        <v>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1</v>
      </c>
      <c r="DY5" s="1">
        <v>0</v>
      </c>
      <c r="DZ5" s="1">
        <v>0</v>
      </c>
      <c r="EA5" s="1">
        <v>1</v>
      </c>
      <c r="EB5" s="1">
        <v>0</v>
      </c>
      <c r="EC5" s="1">
        <v>1</v>
      </c>
      <c r="ED5" s="1">
        <v>0</v>
      </c>
      <c r="EE5" s="1">
        <v>0</v>
      </c>
      <c r="EF5" s="1">
        <v>0</v>
      </c>
      <c r="EG5" s="1">
        <v>0</v>
      </c>
      <c r="EH5" s="1">
        <v>1</v>
      </c>
      <c r="EI5" s="1">
        <v>0</v>
      </c>
      <c r="EJ5" s="1">
        <v>1</v>
      </c>
      <c r="EK5" s="1">
        <v>1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1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1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1</v>
      </c>
      <c r="FE5" s="1">
        <v>1</v>
      </c>
      <c r="FF5" s="1">
        <v>1</v>
      </c>
      <c r="FG5" s="1">
        <v>1</v>
      </c>
      <c r="FH5" s="1">
        <v>1</v>
      </c>
      <c r="FI5" s="1">
        <v>1</v>
      </c>
      <c r="FJ5" s="1">
        <v>1</v>
      </c>
      <c r="FK5" s="1">
        <v>1</v>
      </c>
      <c r="FL5" s="1">
        <v>1</v>
      </c>
      <c r="FM5" s="1">
        <v>0</v>
      </c>
      <c r="FN5" s="1">
        <v>0</v>
      </c>
      <c r="FO5" s="1">
        <v>0</v>
      </c>
      <c r="FP5" s="1">
        <v>1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1</v>
      </c>
      <c r="GD5" s="1">
        <v>0</v>
      </c>
      <c r="GE5" s="1">
        <v>0</v>
      </c>
      <c r="GF5" s="1">
        <v>0</v>
      </c>
      <c r="GG5" s="1">
        <v>0</v>
      </c>
      <c r="GH5" s="1">
        <v>1</v>
      </c>
      <c r="GI5" s="1">
        <v>0</v>
      </c>
      <c r="GJ5" s="1">
        <v>0</v>
      </c>
      <c r="GK5" s="1">
        <v>1</v>
      </c>
      <c r="GL5" s="1">
        <v>1</v>
      </c>
      <c r="GM5" s="1">
        <v>0</v>
      </c>
      <c r="GN5" s="1">
        <v>1</v>
      </c>
      <c r="GO5" s="1">
        <v>1</v>
      </c>
      <c r="GP5" s="1">
        <v>0</v>
      </c>
      <c r="GQ5" s="1">
        <v>1</v>
      </c>
      <c r="GR5" s="1">
        <v>0</v>
      </c>
      <c r="GS5" s="1">
        <v>0</v>
      </c>
      <c r="GT5" s="1">
        <v>1</v>
      </c>
      <c r="GU5" s="1">
        <v>1</v>
      </c>
      <c r="GV5" s="1">
        <v>1</v>
      </c>
      <c r="GW5" s="1">
        <v>1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1</v>
      </c>
      <c r="HD5" s="1">
        <v>1</v>
      </c>
      <c r="HE5" s="1">
        <v>0</v>
      </c>
      <c r="HF5" s="1">
        <v>0</v>
      </c>
    </row>
    <row r="6" spans="1:214" x14ac:dyDescent="0.2">
      <c r="A6" s="1" t="s">
        <v>236</v>
      </c>
      <c r="B6" s="1" t="s">
        <v>236</v>
      </c>
      <c r="D6" s="1" t="s">
        <v>237</v>
      </c>
      <c r="E6" s="1" t="s">
        <v>215</v>
      </c>
      <c r="F6" s="1">
        <v>0</v>
      </c>
      <c r="G6" s="1" t="s">
        <v>238</v>
      </c>
      <c r="H6" s="1" t="s">
        <v>239</v>
      </c>
      <c r="I6" s="1" t="s">
        <v>240</v>
      </c>
      <c r="J6" s="1">
        <v>32</v>
      </c>
      <c r="K6" s="1" t="s">
        <v>24</v>
      </c>
      <c r="L6" s="1" t="s">
        <v>241</v>
      </c>
      <c r="M6" s="1" t="s">
        <v>16</v>
      </c>
      <c r="N6" s="1">
        <f>IF(Regions_master[[#This Row],[Forecaster]]=Regions_master[[#Headers],[Grigor]],1,0)</f>
        <v>0</v>
      </c>
      <c r="O6" s="1">
        <f>IF(Regions_master[[#This Row],[Forecaster]]=Regions_master[[#Headers],[Ingo]],1,0)</f>
        <v>0</v>
      </c>
      <c r="P6" s="1">
        <f>IF(Regions_master[[#This Row],[Forecaster]]=Regions_master[[#Headers],[Danyira]],1,0)</f>
        <v>0</v>
      </c>
      <c r="Q6" s="1">
        <f>IF(Regions_master[[#This Row],[Forecaster]]=Regions_master[[#Headers],[Sebastian]],1,0)</f>
        <v>1</v>
      </c>
      <c r="R6" s="1">
        <f>IF(Regions_master[[#This Row],[Forecaster]]=Regions_master[[#Headers],[Yasu]],1,0)</f>
        <v>0</v>
      </c>
      <c r="S6" s="1">
        <f>IF(Regions_master[[#This Row],[Forecaster]]=Regions_master[[#Headers],[Zhenqian]],1,0)</f>
        <v>0</v>
      </c>
      <c r="T6" s="1">
        <f>IF(Regions_master[[#This Row],[Forecaster]]=Regions_master[[#Headers],[Berna]],1,0)</f>
        <v>0</v>
      </c>
      <c r="U6" s="1">
        <f>IF(Regions_master[[#This Row],[Forecaster]]=Regions_master[[#Headers],[Julian]],1,0)</f>
        <v>0</v>
      </c>
      <c r="V6" s="1">
        <f>IF(Regions_master[[#This Row],[Forecaster]]=Regions_master[[#Headers],[Katarzyna]],1,0)</f>
        <v>0</v>
      </c>
      <c r="W6" s="1">
        <v>1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1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1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1</v>
      </c>
      <c r="CT6" s="1">
        <v>1</v>
      </c>
      <c r="CU6" s="1">
        <v>1</v>
      </c>
      <c r="CV6" s="1">
        <v>1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1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1</v>
      </c>
      <c r="DQ6" s="1">
        <v>1</v>
      </c>
      <c r="DR6" s="1">
        <v>1</v>
      </c>
      <c r="DS6" s="1">
        <v>1</v>
      </c>
      <c r="DT6" s="1">
        <v>0</v>
      </c>
      <c r="DU6" s="1">
        <v>0</v>
      </c>
      <c r="DV6" s="1">
        <v>1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1</v>
      </c>
      <c r="EE6" s="1">
        <v>0</v>
      </c>
      <c r="EF6" s="1">
        <v>0</v>
      </c>
      <c r="EG6" s="1">
        <v>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1</v>
      </c>
      <c r="ES6" s="1">
        <v>1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1</v>
      </c>
      <c r="FB6" s="1">
        <v>0</v>
      </c>
      <c r="FC6" s="1">
        <v>0</v>
      </c>
      <c r="FD6" s="1">
        <v>1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1</v>
      </c>
      <c r="GH6" s="1">
        <v>1</v>
      </c>
      <c r="GI6" s="1">
        <v>1</v>
      </c>
      <c r="GJ6" s="1">
        <v>0</v>
      </c>
      <c r="GK6" s="1">
        <v>0</v>
      </c>
      <c r="GL6" s="1">
        <v>0</v>
      </c>
      <c r="GM6" s="1">
        <v>0</v>
      </c>
      <c r="GN6" s="1">
        <v>1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1</v>
      </c>
      <c r="GU6" s="1">
        <v>1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1</v>
      </c>
      <c r="HD6" s="1">
        <v>1</v>
      </c>
      <c r="HE6" s="1">
        <v>0</v>
      </c>
      <c r="HF6" s="1">
        <v>0</v>
      </c>
    </row>
    <row r="7" spans="1:214" x14ac:dyDescent="0.2">
      <c r="A7" s="1" t="s">
        <v>242</v>
      </c>
      <c r="B7" s="1" t="s">
        <v>242</v>
      </c>
      <c r="D7" s="1" t="s">
        <v>243</v>
      </c>
      <c r="E7" s="1" t="s">
        <v>215</v>
      </c>
      <c r="F7" s="1">
        <v>0</v>
      </c>
      <c r="G7" s="1" t="s">
        <v>244</v>
      </c>
      <c r="H7" s="1" t="s">
        <v>223</v>
      </c>
      <c r="I7" s="1" t="s">
        <v>244</v>
      </c>
      <c r="J7" s="1">
        <v>51</v>
      </c>
      <c r="K7" s="1" t="s">
        <v>23</v>
      </c>
      <c r="L7" s="1" t="s">
        <v>245</v>
      </c>
      <c r="M7" s="1" t="s">
        <v>13</v>
      </c>
      <c r="N7" s="1">
        <f>IF(Regions_master[[#This Row],[Forecaster]]=Regions_master[[#Headers],[Grigor]],1,0)</f>
        <v>1</v>
      </c>
      <c r="O7" s="1">
        <f>IF(Regions_master[[#This Row],[Forecaster]]=Regions_master[[#Headers],[Ingo]],1,0)</f>
        <v>0</v>
      </c>
      <c r="P7" s="1">
        <f>IF(Regions_master[[#This Row],[Forecaster]]=Regions_master[[#Headers],[Danyira]],1,0)</f>
        <v>0</v>
      </c>
      <c r="Q7" s="1">
        <f>IF(Regions_master[[#This Row],[Forecaster]]=Regions_master[[#Headers],[Sebastian]],1,0)</f>
        <v>0</v>
      </c>
      <c r="R7" s="1">
        <f>IF(Regions_master[[#This Row],[Forecaster]]=Regions_master[[#Headers],[Yasu]],1,0)</f>
        <v>0</v>
      </c>
      <c r="S7" s="1">
        <f>IF(Regions_master[[#This Row],[Forecaster]]=Regions_master[[#Headers],[Zhenqian]],1,0)</f>
        <v>0</v>
      </c>
      <c r="T7" s="1">
        <f>IF(Regions_master[[#This Row],[Forecaster]]=Regions_master[[#Headers],[Berna]],1,0)</f>
        <v>0</v>
      </c>
      <c r="U7" s="1">
        <f>IF(Regions_master[[#This Row],[Forecaster]]=Regions_master[[#Headers],[Julian]],1,0)</f>
        <v>0</v>
      </c>
      <c r="V7" s="1">
        <f>IF(Regions_master[[#This Row],[Forecaster]]=Regions_master[[#Headers],[Katarzyna]],1,0)</f>
        <v>0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1</v>
      </c>
      <c r="CW7" s="1">
        <v>0</v>
      </c>
      <c r="CX7" s="1">
        <v>0</v>
      </c>
      <c r="CY7" s="1">
        <v>0</v>
      </c>
      <c r="CZ7" s="1">
        <v>1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1</v>
      </c>
      <c r="DP7" s="1">
        <v>1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1</v>
      </c>
      <c r="ED7" s="1">
        <v>0</v>
      </c>
      <c r="EE7" s="1">
        <v>1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1</v>
      </c>
      <c r="ET7" s="1">
        <v>0</v>
      </c>
      <c r="EU7" s="1">
        <v>1</v>
      </c>
      <c r="EV7" s="1">
        <v>0</v>
      </c>
      <c r="EW7" s="1">
        <v>0</v>
      </c>
      <c r="EX7" s="1">
        <v>1</v>
      </c>
      <c r="EY7" s="1">
        <v>1</v>
      </c>
      <c r="EZ7" s="1">
        <v>1</v>
      </c>
      <c r="FA7" s="1">
        <v>1</v>
      </c>
      <c r="FB7" s="1">
        <v>0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0</v>
      </c>
      <c r="FJ7" s="1">
        <v>0</v>
      </c>
      <c r="FK7" s="1">
        <v>0</v>
      </c>
      <c r="FL7" s="1">
        <v>0</v>
      </c>
      <c r="FM7" s="1">
        <v>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0</v>
      </c>
      <c r="GF7" s="1">
        <v>1</v>
      </c>
      <c r="GG7" s="1">
        <v>0</v>
      </c>
      <c r="GH7" s="1">
        <v>1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1</v>
      </c>
      <c r="HD7" s="1">
        <v>1</v>
      </c>
      <c r="HE7" s="1">
        <v>1</v>
      </c>
      <c r="HF7" s="1">
        <v>0</v>
      </c>
    </row>
    <row r="8" spans="1:214" x14ac:dyDescent="0.2">
      <c r="A8" s="1" t="s">
        <v>246</v>
      </c>
      <c r="B8" s="1" t="s">
        <v>246</v>
      </c>
      <c r="D8" s="1" t="s">
        <v>247</v>
      </c>
      <c r="E8" s="1" t="s">
        <v>215</v>
      </c>
      <c r="F8" s="1">
        <v>0</v>
      </c>
      <c r="G8" s="1" t="s">
        <v>248</v>
      </c>
      <c r="H8" s="1" t="s">
        <v>223</v>
      </c>
      <c r="I8" s="1" t="s">
        <v>248</v>
      </c>
      <c r="J8" s="1">
        <v>36</v>
      </c>
      <c r="K8" s="1" t="s">
        <v>22</v>
      </c>
      <c r="L8" s="1" t="s">
        <v>235</v>
      </c>
      <c r="M8" s="1" t="s">
        <v>17</v>
      </c>
      <c r="N8" s="1">
        <f>IF(Regions_master[[#This Row],[Forecaster]]=Regions_master[[#Headers],[Grigor]],1,0)</f>
        <v>0</v>
      </c>
      <c r="O8" s="1">
        <f>IF(Regions_master[[#This Row],[Forecaster]]=Regions_master[[#Headers],[Ingo]],1,0)</f>
        <v>0</v>
      </c>
      <c r="P8" s="1">
        <f>IF(Regions_master[[#This Row],[Forecaster]]=Regions_master[[#Headers],[Danyira]],1,0)</f>
        <v>0</v>
      </c>
      <c r="Q8" s="1">
        <f>IF(Regions_master[[#This Row],[Forecaster]]=Regions_master[[#Headers],[Sebastian]],1,0)</f>
        <v>0</v>
      </c>
      <c r="R8" s="1">
        <f>IF(Regions_master[[#This Row],[Forecaster]]=Regions_master[[#Headers],[Yasu]],1,0)</f>
        <v>1</v>
      </c>
      <c r="S8" s="1">
        <f>IF(Regions_master[[#This Row],[Forecaster]]=Regions_master[[#Headers],[Zhenqian]],1,0)</f>
        <v>0</v>
      </c>
      <c r="T8" s="1">
        <f>IF(Regions_master[[#This Row],[Forecaster]]=Regions_master[[#Headers],[Berna]],1,0)</f>
        <v>0</v>
      </c>
      <c r="U8" s="1">
        <f>IF(Regions_master[[#This Row],[Forecaster]]=Regions_master[[#Headers],[Julian]],1,0)</f>
        <v>0</v>
      </c>
      <c r="V8" s="1">
        <f>IF(Regions_master[[#This Row],[Forecaster]]=Regions_master[[#Headers],[Katarzyna]],1,0)</f>
        <v>0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1</v>
      </c>
      <c r="CU8" s="1">
        <v>0</v>
      </c>
      <c r="CV8" s="1">
        <v>1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1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1</v>
      </c>
      <c r="ED8" s="1">
        <v>0</v>
      </c>
      <c r="EE8" s="1">
        <v>0</v>
      </c>
      <c r="EF8" s="1">
        <v>0</v>
      </c>
      <c r="EG8" s="1">
        <v>0</v>
      </c>
      <c r="EH8" s="1">
        <v>1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1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1</v>
      </c>
      <c r="FE8" s="1">
        <v>1</v>
      </c>
      <c r="FF8" s="1">
        <v>1</v>
      </c>
      <c r="FG8" s="1">
        <v>1</v>
      </c>
      <c r="FH8" s="1">
        <v>1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1</v>
      </c>
      <c r="GI8" s="1">
        <v>0</v>
      </c>
      <c r="GJ8" s="1">
        <v>0</v>
      </c>
      <c r="GK8" s="1">
        <v>1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1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</row>
    <row r="9" spans="1:214" x14ac:dyDescent="0.2">
      <c r="A9" s="1" t="s">
        <v>249</v>
      </c>
      <c r="B9" s="1" t="s">
        <v>249</v>
      </c>
      <c r="D9" s="1" t="s">
        <v>250</v>
      </c>
      <c r="E9" s="1" t="s">
        <v>215</v>
      </c>
      <c r="F9" s="1">
        <v>0</v>
      </c>
      <c r="G9" s="1" t="s">
        <v>251</v>
      </c>
      <c r="H9" s="1" t="s">
        <v>252</v>
      </c>
      <c r="I9" s="1" t="s">
        <v>253</v>
      </c>
      <c r="J9" s="1">
        <v>40</v>
      </c>
      <c r="K9" s="1" t="s">
        <v>22</v>
      </c>
      <c r="L9" s="1" t="s">
        <v>254</v>
      </c>
      <c r="M9" s="1" t="s">
        <v>14</v>
      </c>
      <c r="N9" s="1">
        <f>IF(Regions_master[[#This Row],[Forecaster]]=Regions_master[[#Headers],[Grigor]],1,0)</f>
        <v>0</v>
      </c>
      <c r="O9" s="1">
        <f>IF(Regions_master[[#This Row],[Forecaster]]=Regions_master[[#Headers],[Ingo]],1,0)</f>
        <v>1</v>
      </c>
      <c r="P9" s="1">
        <f>IF(Regions_master[[#This Row],[Forecaster]]=Regions_master[[#Headers],[Danyira]],1,0)</f>
        <v>0</v>
      </c>
      <c r="Q9" s="1">
        <f>IF(Regions_master[[#This Row],[Forecaster]]=Regions_master[[#Headers],[Sebastian]],1,0)</f>
        <v>0</v>
      </c>
      <c r="R9" s="1">
        <f>IF(Regions_master[[#This Row],[Forecaster]]=Regions_master[[#Headers],[Yasu]],1,0)</f>
        <v>0</v>
      </c>
      <c r="S9" s="1">
        <f>IF(Regions_master[[#This Row],[Forecaster]]=Regions_master[[#Headers],[Zhenqian]],1,0)</f>
        <v>0</v>
      </c>
      <c r="T9" s="1">
        <f>IF(Regions_master[[#This Row],[Forecaster]]=Regions_master[[#Headers],[Berna]],1,0)</f>
        <v>0</v>
      </c>
      <c r="U9" s="1">
        <f>IF(Regions_master[[#This Row],[Forecaster]]=Regions_master[[#Headers],[Julian]],1,0)</f>
        <v>0</v>
      </c>
      <c r="V9" s="1">
        <f>IF(Regions_master[[#This Row],[Forecaster]]=Regions_master[[#Headers],[Katarzyna]],1,0)</f>
        <v>0</v>
      </c>
      <c r="W9" s="1">
        <v>1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1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1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1</v>
      </c>
      <c r="FC9" s="1">
        <v>0</v>
      </c>
      <c r="FD9" s="1">
        <v>1</v>
      </c>
      <c r="FE9" s="1">
        <v>1</v>
      </c>
      <c r="FF9" s="1">
        <v>1</v>
      </c>
      <c r="FG9" s="1">
        <v>1</v>
      </c>
      <c r="FH9" s="1">
        <v>1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1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1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</row>
    <row r="10" spans="1:214" x14ac:dyDescent="0.2">
      <c r="A10" s="1" t="s">
        <v>255</v>
      </c>
      <c r="B10" s="1" t="s">
        <v>255</v>
      </c>
      <c r="D10" s="1" t="s">
        <v>256</v>
      </c>
      <c r="E10" s="1" t="s">
        <v>215</v>
      </c>
      <c r="F10" s="1">
        <v>0</v>
      </c>
      <c r="G10" s="1" t="s">
        <v>244</v>
      </c>
      <c r="H10" s="1" t="s">
        <v>223</v>
      </c>
      <c r="I10" s="1" t="s">
        <v>244</v>
      </c>
      <c r="J10" s="1">
        <v>31</v>
      </c>
      <c r="K10" s="1" t="s">
        <v>23</v>
      </c>
      <c r="L10" s="1" t="s">
        <v>224</v>
      </c>
      <c r="M10" s="1" t="s">
        <v>13</v>
      </c>
      <c r="N10" s="1">
        <f>IF(Regions_master[[#This Row],[Forecaster]]=Regions_master[[#Headers],[Grigor]],1,0)</f>
        <v>1</v>
      </c>
      <c r="O10" s="1">
        <f>IF(Regions_master[[#This Row],[Forecaster]]=Regions_master[[#Headers],[Ingo]],1,0)</f>
        <v>0</v>
      </c>
      <c r="P10" s="1">
        <f>IF(Regions_master[[#This Row],[Forecaster]]=Regions_master[[#Headers],[Danyira]],1,0)</f>
        <v>0</v>
      </c>
      <c r="Q10" s="1">
        <f>IF(Regions_master[[#This Row],[Forecaster]]=Regions_master[[#Headers],[Sebastian]],1,0)</f>
        <v>0</v>
      </c>
      <c r="R10" s="1">
        <f>IF(Regions_master[[#This Row],[Forecaster]]=Regions_master[[#Headers],[Yasu]],1,0)</f>
        <v>0</v>
      </c>
      <c r="S10" s="1">
        <f>IF(Regions_master[[#This Row],[Forecaster]]=Regions_master[[#Headers],[Zhenqian]],1,0)</f>
        <v>0</v>
      </c>
      <c r="T10" s="1">
        <f>IF(Regions_master[[#This Row],[Forecaster]]=Regions_master[[#Headers],[Berna]],1,0)</f>
        <v>0</v>
      </c>
      <c r="U10" s="1">
        <f>IF(Regions_master[[#This Row],[Forecaster]]=Regions_master[[#Headers],[Julian]],1,0)</f>
        <v>0</v>
      </c>
      <c r="V10" s="1">
        <f>IF(Regions_master[[#This Row],[Forecaster]]=Regions_master[[#Headers],[Katarzyna]],1,0)</f>
        <v>0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1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1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1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1</v>
      </c>
      <c r="CV10" s="1">
        <v>1</v>
      </c>
      <c r="CW10" s="1">
        <v>0</v>
      </c>
      <c r="CX10" s="1">
        <v>0</v>
      </c>
      <c r="CY10" s="1">
        <v>1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1</v>
      </c>
      <c r="DP10" s="1">
        <v>1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1</v>
      </c>
      <c r="ED10" s="1">
        <v>0</v>
      </c>
      <c r="EE10" s="1">
        <v>0</v>
      </c>
      <c r="EF10" s="1">
        <v>0</v>
      </c>
      <c r="EG10" s="1">
        <v>0</v>
      </c>
      <c r="EH10" s="1">
        <v>1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1</v>
      </c>
      <c r="ET10" s="1">
        <v>0</v>
      </c>
      <c r="EU10" s="1">
        <v>1</v>
      </c>
      <c r="EV10" s="1">
        <v>0</v>
      </c>
      <c r="EW10" s="1">
        <v>0</v>
      </c>
      <c r="EX10" s="1">
        <v>1</v>
      </c>
      <c r="EY10" s="1">
        <v>1</v>
      </c>
      <c r="EZ10" s="1">
        <v>1</v>
      </c>
      <c r="FA10" s="1">
        <v>0</v>
      </c>
      <c r="FB10" s="1">
        <v>0</v>
      </c>
      <c r="FC10" s="1">
        <v>1</v>
      </c>
      <c r="FD10" s="1">
        <v>1</v>
      </c>
      <c r="FE10" s="1">
        <v>1</v>
      </c>
      <c r="FF10" s="1">
        <v>1</v>
      </c>
      <c r="FG10" s="1">
        <v>1</v>
      </c>
      <c r="FH10" s="1">
        <v>1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1</v>
      </c>
      <c r="GE10" s="1">
        <v>0</v>
      </c>
      <c r="GF10" s="1">
        <v>1</v>
      </c>
      <c r="GG10" s="1">
        <v>0</v>
      </c>
      <c r="GH10" s="1">
        <v>1</v>
      </c>
      <c r="GI10" s="1">
        <v>0</v>
      </c>
      <c r="GJ10" s="1">
        <v>0</v>
      </c>
      <c r="GK10" s="1">
        <v>1</v>
      </c>
      <c r="GL10" s="1">
        <v>0</v>
      </c>
      <c r="GM10" s="1">
        <v>0</v>
      </c>
      <c r="GN10" s="1">
        <v>1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1</v>
      </c>
      <c r="GU10" s="1">
        <v>1</v>
      </c>
      <c r="GV10" s="1">
        <v>1</v>
      </c>
      <c r="GW10" s="1">
        <v>1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1</v>
      </c>
      <c r="HD10" s="1">
        <v>1</v>
      </c>
      <c r="HE10" s="1">
        <v>1</v>
      </c>
      <c r="HF10" s="1">
        <v>0</v>
      </c>
    </row>
    <row r="11" spans="1:214" x14ac:dyDescent="0.2">
      <c r="A11" s="1" t="s">
        <v>257</v>
      </c>
      <c r="B11" s="1" t="s">
        <v>257</v>
      </c>
      <c r="D11" s="1" t="s">
        <v>258</v>
      </c>
      <c r="E11" s="1" t="s">
        <v>215</v>
      </c>
      <c r="F11" s="1">
        <v>0</v>
      </c>
      <c r="G11" s="1" t="s">
        <v>238</v>
      </c>
      <c r="H11" s="1" t="s">
        <v>259</v>
      </c>
      <c r="I11" s="1" t="s">
        <v>260</v>
      </c>
      <c r="J11" s="1">
        <v>44</v>
      </c>
      <c r="K11" s="1" t="s">
        <v>24</v>
      </c>
      <c r="L11" s="1" t="s">
        <v>261</v>
      </c>
      <c r="M11" s="1" t="s">
        <v>16</v>
      </c>
      <c r="N11" s="1">
        <f>IF(Regions_master[[#This Row],[Forecaster]]=Regions_master[[#Headers],[Grigor]],1,0)</f>
        <v>0</v>
      </c>
      <c r="O11" s="1">
        <f>IF(Regions_master[[#This Row],[Forecaster]]=Regions_master[[#Headers],[Ingo]],1,0)</f>
        <v>0</v>
      </c>
      <c r="P11" s="1">
        <f>IF(Regions_master[[#This Row],[Forecaster]]=Regions_master[[#Headers],[Danyira]],1,0)</f>
        <v>0</v>
      </c>
      <c r="Q11" s="1">
        <f>IF(Regions_master[[#This Row],[Forecaster]]=Regions_master[[#Headers],[Sebastian]],1,0)</f>
        <v>1</v>
      </c>
      <c r="R11" s="1">
        <f>IF(Regions_master[[#This Row],[Forecaster]]=Regions_master[[#Headers],[Yasu]],1,0)</f>
        <v>0</v>
      </c>
      <c r="S11" s="1">
        <f>IF(Regions_master[[#This Row],[Forecaster]]=Regions_master[[#Headers],[Zhenqian]],1,0)</f>
        <v>0</v>
      </c>
      <c r="T11" s="1">
        <f>IF(Regions_master[[#This Row],[Forecaster]]=Regions_master[[#Headers],[Berna]],1,0)</f>
        <v>0</v>
      </c>
      <c r="U11" s="1">
        <f>IF(Regions_master[[#This Row],[Forecaster]]=Regions_master[[#Headers],[Julian]],1,0)</f>
        <v>0</v>
      </c>
      <c r="V11" s="1">
        <f>IF(Regions_master[[#This Row],[Forecaster]]=Regions_master[[#Headers],[Katarzyna]],1,0)</f>
        <v>0</v>
      </c>
      <c r="W11" s="1">
        <v>1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1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1</v>
      </c>
      <c r="CR11" s="1">
        <v>0</v>
      </c>
      <c r="CS11" s="1">
        <v>0</v>
      </c>
      <c r="CT11" s="1">
        <v>0</v>
      </c>
      <c r="CU11" s="1">
        <v>1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1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1</v>
      </c>
      <c r="DQ11" s="1">
        <v>1</v>
      </c>
      <c r="DR11" s="1">
        <v>1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1</v>
      </c>
      <c r="ED11" s="1">
        <v>0</v>
      </c>
      <c r="EE11" s="1">
        <v>1</v>
      </c>
      <c r="EF11" s="1">
        <v>1</v>
      </c>
      <c r="EG11" s="1">
        <v>0</v>
      </c>
      <c r="EH11" s="1">
        <v>0</v>
      </c>
      <c r="EI11" s="1">
        <v>1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1</v>
      </c>
      <c r="EP11" s="1">
        <v>0</v>
      </c>
      <c r="EQ11" s="1">
        <v>0</v>
      </c>
      <c r="ER11" s="1">
        <v>0</v>
      </c>
      <c r="ES11" s="1">
        <v>0</v>
      </c>
      <c r="ET11" s="1">
        <v>1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1</v>
      </c>
      <c r="FC11" s="1">
        <v>0</v>
      </c>
      <c r="FD11" s="1">
        <v>1</v>
      </c>
      <c r="FE11" s="1">
        <v>1</v>
      </c>
      <c r="FF11" s="1">
        <v>1</v>
      </c>
      <c r="FG11" s="1">
        <v>1</v>
      </c>
      <c r="FH11" s="1">
        <v>1</v>
      </c>
      <c r="FI11" s="1">
        <v>1</v>
      </c>
      <c r="FJ11" s="1">
        <v>1</v>
      </c>
      <c r="FK11" s="1">
        <v>1</v>
      </c>
      <c r="FL11" s="1">
        <v>1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1</v>
      </c>
      <c r="FW11" s="1">
        <v>0</v>
      </c>
      <c r="FX11" s="1">
        <v>0</v>
      </c>
      <c r="FY11" s="1">
        <v>0</v>
      </c>
      <c r="FZ11" s="1">
        <v>0</v>
      </c>
      <c r="GA11" s="1">
        <v>1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</v>
      </c>
      <c r="GK11" s="1">
        <v>0</v>
      </c>
      <c r="GL11" s="1">
        <v>0</v>
      </c>
      <c r="GM11" s="1">
        <v>0</v>
      </c>
      <c r="GN11" s="1">
        <v>1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1</v>
      </c>
      <c r="HB11" s="1">
        <v>1</v>
      </c>
      <c r="HC11" s="1">
        <v>0</v>
      </c>
      <c r="HD11" s="1">
        <v>0</v>
      </c>
      <c r="HE11" s="1">
        <v>0</v>
      </c>
      <c r="HF11" s="1">
        <v>0</v>
      </c>
    </row>
    <row r="12" spans="1:214" x14ac:dyDescent="0.2">
      <c r="A12" s="1" t="s">
        <v>262</v>
      </c>
      <c r="B12" s="1" t="s">
        <v>262</v>
      </c>
      <c r="D12" s="1" t="s">
        <v>263</v>
      </c>
      <c r="E12" s="1" t="s">
        <v>215</v>
      </c>
      <c r="F12" s="1">
        <v>0</v>
      </c>
      <c r="G12" s="1" t="s">
        <v>216</v>
      </c>
      <c r="H12" s="1" t="s">
        <v>264</v>
      </c>
      <c r="I12" s="1" t="s">
        <v>265</v>
      </c>
      <c r="J12" s="1">
        <v>48</v>
      </c>
      <c r="K12" s="1" t="s">
        <v>24</v>
      </c>
      <c r="L12" s="1" t="s">
        <v>266</v>
      </c>
      <c r="M12" s="1" t="s">
        <v>18</v>
      </c>
      <c r="N12" s="1">
        <f>IF(Regions_master[[#This Row],[Forecaster]]=Regions_master[[#Headers],[Grigor]],1,0)</f>
        <v>0</v>
      </c>
      <c r="O12" s="1">
        <f>IF(Regions_master[[#This Row],[Forecaster]]=Regions_master[[#Headers],[Ingo]],1,0)</f>
        <v>0</v>
      </c>
      <c r="P12" s="1">
        <f>IF(Regions_master[[#This Row],[Forecaster]]=Regions_master[[#Headers],[Danyira]],1,0)</f>
        <v>0</v>
      </c>
      <c r="Q12" s="1">
        <f>IF(Regions_master[[#This Row],[Forecaster]]=Regions_master[[#Headers],[Sebastian]],1,0)</f>
        <v>0</v>
      </c>
      <c r="R12" s="1">
        <f>IF(Regions_master[[#This Row],[Forecaster]]=Regions_master[[#Headers],[Yasu]],1,0)</f>
        <v>0</v>
      </c>
      <c r="S12" s="1">
        <f>IF(Regions_master[[#This Row],[Forecaster]]=Regions_master[[#Headers],[Zhenqian]],1,0)</f>
        <v>0</v>
      </c>
      <c r="T12" s="1">
        <f>IF(Regions_master[[#This Row],[Forecaster]]=Regions_master[[#Headers],[Berna]],1,0)</f>
        <v>1</v>
      </c>
      <c r="U12" s="1">
        <f>IF(Regions_master[[#This Row],[Forecaster]]=Regions_master[[#Headers],[Julian]],1,0)</f>
        <v>0</v>
      </c>
      <c r="V12" s="1">
        <f>IF(Regions_master[[#This Row],[Forecaster]]=Regions_master[[#Headers],[Katarzyna]],1,0)</f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0</v>
      </c>
      <c r="BC12" s="1">
        <v>1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0</v>
      </c>
      <c r="BP12" s="1">
        <v>0</v>
      </c>
      <c r="BQ12" s="1">
        <v>0</v>
      </c>
      <c r="BR12" s="1">
        <v>0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1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1</v>
      </c>
      <c r="CV12" s="1">
        <v>1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1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1</v>
      </c>
      <c r="DO12" s="1">
        <v>0</v>
      </c>
      <c r="DP12" s="1">
        <v>1</v>
      </c>
      <c r="DQ12" s="1">
        <v>1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1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1</v>
      </c>
      <c r="EE12" s="1">
        <v>0</v>
      </c>
      <c r="EF12" s="1">
        <v>0</v>
      </c>
      <c r="EG12" s="1">
        <v>0</v>
      </c>
      <c r="EH12" s="1">
        <v>1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1</v>
      </c>
      <c r="EY12" s="1">
        <v>0</v>
      </c>
      <c r="EZ12" s="1">
        <v>0</v>
      </c>
      <c r="FA12" s="1">
        <v>1</v>
      </c>
      <c r="FB12" s="1">
        <v>0</v>
      </c>
      <c r="FC12" s="1">
        <v>0</v>
      </c>
      <c r="FD12" s="1">
        <v>1</v>
      </c>
      <c r="FE12" s="1">
        <v>1</v>
      </c>
      <c r="FF12" s="1">
        <v>1</v>
      </c>
      <c r="FG12" s="1">
        <v>1</v>
      </c>
      <c r="FH12" s="1">
        <v>1</v>
      </c>
      <c r="FI12" s="1">
        <v>1</v>
      </c>
      <c r="FJ12" s="1">
        <v>1</v>
      </c>
      <c r="FK12" s="1">
        <v>1</v>
      </c>
      <c r="FL12" s="1">
        <v>1</v>
      </c>
      <c r="FM12" s="1">
        <v>0</v>
      </c>
      <c r="FN12" s="1">
        <v>0</v>
      </c>
      <c r="FO12" s="1">
        <v>0</v>
      </c>
      <c r="FP12" s="1">
        <v>0</v>
      </c>
      <c r="FQ12" s="1">
        <v>1</v>
      </c>
      <c r="FR12" s="1">
        <v>0</v>
      </c>
      <c r="FS12" s="1">
        <v>0</v>
      </c>
      <c r="FT12" s="1">
        <v>0</v>
      </c>
      <c r="FU12" s="1">
        <v>1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1</v>
      </c>
      <c r="GE12" s="1">
        <v>0</v>
      </c>
      <c r="GF12" s="1">
        <v>1</v>
      </c>
      <c r="GG12" s="1">
        <v>1</v>
      </c>
      <c r="GH12" s="1">
        <v>1</v>
      </c>
      <c r="GI12" s="1">
        <v>0</v>
      </c>
      <c r="GJ12" s="1">
        <v>0</v>
      </c>
      <c r="GK12" s="1">
        <v>1</v>
      </c>
      <c r="GL12" s="1">
        <v>0</v>
      </c>
      <c r="GM12" s="1">
        <v>0</v>
      </c>
      <c r="GN12" s="1">
        <v>1</v>
      </c>
      <c r="GO12" s="1">
        <v>0</v>
      </c>
      <c r="GP12" s="1">
        <v>1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</row>
    <row r="13" spans="1:214" x14ac:dyDescent="0.2">
      <c r="A13" s="1" t="s">
        <v>267</v>
      </c>
      <c r="B13" s="1" t="s">
        <v>267</v>
      </c>
      <c r="D13" s="1" t="s">
        <v>268</v>
      </c>
      <c r="E13" s="1" t="s">
        <v>215</v>
      </c>
      <c r="F13" s="1">
        <v>0</v>
      </c>
      <c r="G13" s="1" t="s">
        <v>216</v>
      </c>
      <c r="H13" s="1" t="s">
        <v>217</v>
      </c>
      <c r="I13" s="1" t="s">
        <v>218</v>
      </c>
      <c r="J13" s="1">
        <v>50</v>
      </c>
      <c r="K13" s="1" t="s">
        <v>24</v>
      </c>
      <c r="L13" s="1" t="s">
        <v>261</v>
      </c>
      <c r="M13" s="1" t="s">
        <v>15</v>
      </c>
      <c r="N13" s="1">
        <f>IF(Regions_master[[#This Row],[Forecaster]]=Regions_master[[#Headers],[Grigor]],1,0)</f>
        <v>0</v>
      </c>
      <c r="O13" s="1">
        <f>IF(Regions_master[[#This Row],[Forecaster]]=Regions_master[[#Headers],[Ingo]],1,0)</f>
        <v>0</v>
      </c>
      <c r="P13" s="1">
        <f>IF(Regions_master[[#This Row],[Forecaster]]=Regions_master[[#Headers],[Danyira]],1,0)</f>
        <v>1</v>
      </c>
      <c r="Q13" s="1">
        <f>IF(Regions_master[[#This Row],[Forecaster]]=Regions_master[[#Headers],[Sebastian]],1,0)</f>
        <v>0</v>
      </c>
      <c r="R13" s="1">
        <f>IF(Regions_master[[#This Row],[Forecaster]]=Regions_master[[#Headers],[Yasu]],1,0)</f>
        <v>0</v>
      </c>
      <c r="S13" s="1">
        <f>IF(Regions_master[[#This Row],[Forecaster]]=Regions_master[[#Headers],[Zhenqian]],1,0)</f>
        <v>0</v>
      </c>
      <c r="T13" s="1">
        <f>IF(Regions_master[[#This Row],[Forecaster]]=Regions_master[[#Headers],[Berna]],1,0)</f>
        <v>0</v>
      </c>
      <c r="U13" s="1">
        <f>IF(Regions_master[[#This Row],[Forecaster]]=Regions_master[[#Headers],[Julian]],1,0)</f>
        <v>0</v>
      </c>
      <c r="V13" s="1">
        <f>IF(Regions_master[[#This Row],[Forecaster]]=Regions_master[[#Headers],[Katarzyna]],1,0)</f>
        <v>0</v>
      </c>
      <c r="W13" s="1">
        <v>1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0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1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1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</v>
      </c>
      <c r="DD13" s="1">
        <v>0</v>
      </c>
      <c r="DE13" s="1">
        <v>1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1</v>
      </c>
      <c r="DN13" s="1">
        <v>0</v>
      </c>
      <c r="DO13" s="1">
        <v>0</v>
      </c>
      <c r="DP13" s="1">
        <v>1</v>
      </c>
      <c r="DQ13" s="1">
        <v>1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1</v>
      </c>
      <c r="EC13" s="1">
        <v>0</v>
      </c>
      <c r="ED13" s="1">
        <v>1</v>
      </c>
      <c r="EE13" s="1">
        <v>0</v>
      </c>
      <c r="EF13" s="1">
        <v>1</v>
      </c>
      <c r="EG13" s="1">
        <v>0</v>
      </c>
      <c r="EH13" s="1">
        <v>0</v>
      </c>
      <c r="EI13" s="1">
        <v>0</v>
      </c>
      <c r="EJ13" s="1">
        <v>1</v>
      </c>
      <c r="EK13" s="1">
        <v>0</v>
      </c>
      <c r="EL13" s="1">
        <v>0</v>
      </c>
      <c r="EM13" s="1">
        <v>1</v>
      </c>
      <c r="EN13" s="1">
        <v>1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1</v>
      </c>
      <c r="FB13" s="1">
        <v>1</v>
      </c>
      <c r="FC13" s="1">
        <v>0</v>
      </c>
      <c r="FD13" s="1">
        <v>1</v>
      </c>
      <c r="FE13" s="1">
        <v>1</v>
      </c>
      <c r="FF13" s="1">
        <v>1</v>
      </c>
      <c r="FG13" s="1">
        <v>1</v>
      </c>
      <c r="FH13" s="1">
        <v>1</v>
      </c>
      <c r="FI13" s="1">
        <v>1</v>
      </c>
      <c r="FJ13" s="1">
        <v>1</v>
      </c>
      <c r="FK13" s="1">
        <v>1</v>
      </c>
      <c r="FL13" s="1">
        <v>1</v>
      </c>
      <c r="FM13" s="1">
        <v>0</v>
      </c>
      <c r="FN13" s="1">
        <v>0</v>
      </c>
      <c r="FO13" s="1">
        <v>0</v>
      </c>
      <c r="FP13" s="1">
        <v>0</v>
      </c>
      <c r="FQ13" s="1">
        <v>1</v>
      </c>
      <c r="FR13" s="1">
        <v>1</v>
      </c>
      <c r="FS13" s="1">
        <v>1</v>
      </c>
      <c r="FT13" s="1">
        <v>1</v>
      </c>
      <c r="FU13" s="1">
        <v>0</v>
      </c>
      <c r="FV13" s="1">
        <v>0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0</v>
      </c>
      <c r="GD13" s="1">
        <v>1</v>
      </c>
      <c r="GE13" s="1">
        <v>1</v>
      </c>
      <c r="GF13" s="1">
        <v>0</v>
      </c>
      <c r="GG13" s="1">
        <v>1</v>
      </c>
      <c r="GH13" s="1">
        <v>0</v>
      </c>
      <c r="GI13" s="1">
        <v>0</v>
      </c>
      <c r="GJ13" s="1">
        <v>1</v>
      </c>
      <c r="GK13" s="1">
        <v>0</v>
      </c>
      <c r="GL13" s="1">
        <v>1</v>
      </c>
      <c r="GM13" s="1">
        <v>0</v>
      </c>
      <c r="GN13" s="1">
        <v>1</v>
      </c>
      <c r="GO13" s="1">
        <v>1</v>
      </c>
      <c r="GP13" s="1">
        <v>0</v>
      </c>
      <c r="GQ13" s="1">
        <v>0</v>
      </c>
      <c r="GR13" s="1">
        <v>1</v>
      </c>
      <c r="GS13" s="1">
        <v>0</v>
      </c>
      <c r="GT13" s="1">
        <v>1</v>
      </c>
      <c r="GU13" s="1">
        <v>1</v>
      </c>
      <c r="GV13" s="1">
        <v>1</v>
      </c>
      <c r="GW13" s="1">
        <v>1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1</v>
      </c>
      <c r="HD13" s="1">
        <v>1</v>
      </c>
      <c r="HE13" s="1">
        <v>0</v>
      </c>
      <c r="HF13" s="1">
        <v>0</v>
      </c>
    </row>
    <row r="14" spans="1:214" x14ac:dyDescent="0.2">
      <c r="A14" s="1" t="s">
        <v>269</v>
      </c>
      <c r="B14" s="1" t="s">
        <v>269</v>
      </c>
      <c r="D14" s="1" t="s">
        <v>270</v>
      </c>
      <c r="E14" s="1" t="s">
        <v>215</v>
      </c>
      <c r="F14" s="1">
        <v>0</v>
      </c>
      <c r="G14" s="1" t="s">
        <v>238</v>
      </c>
      <c r="H14" s="1" t="s">
        <v>259</v>
      </c>
      <c r="I14" s="1" t="s">
        <v>260</v>
      </c>
      <c r="J14" s="1">
        <v>52</v>
      </c>
      <c r="K14" s="1" t="s">
        <v>24</v>
      </c>
      <c r="L14" s="1" t="s">
        <v>271</v>
      </c>
      <c r="M14" s="1" t="s">
        <v>16</v>
      </c>
      <c r="N14" s="1">
        <f>IF(Regions_master[[#This Row],[Forecaster]]=Regions_master[[#Headers],[Grigor]],1,0)</f>
        <v>0</v>
      </c>
      <c r="O14" s="1">
        <f>IF(Regions_master[[#This Row],[Forecaster]]=Regions_master[[#Headers],[Ingo]],1,0)</f>
        <v>0</v>
      </c>
      <c r="P14" s="1">
        <f>IF(Regions_master[[#This Row],[Forecaster]]=Regions_master[[#Headers],[Danyira]],1,0)</f>
        <v>0</v>
      </c>
      <c r="Q14" s="1">
        <f>IF(Regions_master[[#This Row],[Forecaster]]=Regions_master[[#Headers],[Sebastian]],1,0)</f>
        <v>1</v>
      </c>
      <c r="R14" s="1">
        <f>IF(Regions_master[[#This Row],[Forecaster]]=Regions_master[[#Headers],[Yasu]],1,0)</f>
        <v>0</v>
      </c>
      <c r="S14" s="1">
        <f>IF(Regions_master[[#This Row],[Forecaster]]=Regions_master[[#Headers],[Zhenqian]],1,0)</f>
        <v>0</v>
      </c>
      <c r="T14" s="1">
        <f>IF(Regions_master[[#This Row],[Forecaster]]=Regions_master[[#Headers],[Berna]],1,0)</f>
        <v>0</v>
      </c>
      <c r="U14" s="1">
        <f>IF(Regions_master[[#This Row],[Forecaster]]=Regions_master[[#Headers],[Julian]],1,0)</f>
        <v>0</v>
      </c>
      <c r="V14" s="1">
        <f>IF(Regions_master[[#This Row],[Forecaster]]=Regions_master[[#Headers],[Katarzyna]],1,0)</f>
        <v>0</v>
      </c>
      <c r="W14" s="1">
        <v>1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1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1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1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1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1</v>
      </c>
      <c r="DQ14" s="1">
        <v>1</v>
      </c>
      <c r="DR14" s="1">
        <v>1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1</v>
      </c>
      <c r="ED14" s="1">
        <v>0</v>
      </c>
      <c r="EE14" s="1">
        <v>1</v>
      </c>
      <c r="EF14" s="1">
        <v>1</v>
      </c>
      <c r="EG14" s="1">
        <v>0</v>
      </c>
      <c r="EH14" s="1">
        <v>0</v>
      </c>
      <c r="EI14" s="1">
        <v>1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1</v>
      </c>
      <c r="EP14" s="1">
        <v>0</v>
      </c>
      <c r="EQ14" s="1">
        <v>0</v>
      </c>
      <c r="ER14" s="1">
        <v>0</v>
      </c>
      <c r="ES14" s="1">
        <v>0</v>
      </c>
      <c r="ET14" s="1">
        <v>1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1</v>
      </c>
      <c r="FC14" s="1">
        <v>0</v>
      </c>
      <c r="FD14" s="1">
        <v>1</v>
      </c>
      <c r="FE14" s="1">
        <v>1</v>
      </c>
      <c r="FF14" s="1">
        <v>1</v>
      </c>
      <c r="FG14" s="1">
        <v>1</v>
      </c>
      <c r="FH14" s="1">
        <v>1</v>
      </c>
      <c r="FI14" s="1">
        <v>1</v>
      </c>
      <c r="FJ14" s="1">
        <v>1</v>
      </c>
      <c r="FK14" s="1">
        <v>1</v>
      </c>
      <c r="FL14" s="1">
        <v>1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1</v>
      </c>
      <c r="FW14" s="1">
        <v>0</v>
      </c>
      <c r="FX14" s="1">
        <v>0</v>
      </c>
      <c r="FY14" s="1">
        <v>0</v>
      </c>
      <c r="FZ14" s="1">
        <v>0</v>
      </c>
      <c r="GA14" s="1">
        <v>1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1</v>
      </c>
      <c r="GK14" s="1">
        <v>0</v>
      </c>
      <c r="GL14" s="1">
        <v>0</v>
      </c>
      <c r="GM14" s="1">
        <v>0</v>
      </c>
      <c r="GN14" s="1">
        <v>1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1</v>
      </c>
      <c r="HB14" s="1">
        <v>1</v>
      </c>
      <c r="HC14" s="1">
        <v>0</v>
      </c>
      <c r="HD14" s="1">
        <v>0</v>
      </c>
      <c r="HE14" s="1">
        <v>0</v>
      </c>
      <c r="HF14" s="1">
        <v>0</v>
      </c>
    </row>
    <row r="15" spans="1:214" x14ac:dyDescent="0.2">
      <c r="A15" s="1" t="s">
        <v>272</v>
      </c>
      <c r="B15" s="1" t="s">
        <v>272</v>
      </c>
      <c r="D15" s="1" t="s">
        <v>273</v>
      </c>
      <c r="E15" s="1" t="s">
        <v>215</v>
      </c>
      <c r="F15" s="1">
        <v>0</v>
      </c>
      <c r="G15" s="1" t="s">
        <v>244</v>
      </c>
      <c r="H15" s="1" t="s">
        <v>223</v>
      </c>
      <c r="I15" s="1" t="s">
        <v>244</v>
      </c>
      <c r="J15" s="1">
        <v>112</v>
      </c>
      <c r="K15" s="1" t="s">
        <v>23</v>
      </c>
      <c r="L15" s="1" t="s">
        <v>245</v>
      </c>
      <c r="M15" s="1" t="s">
        <v>13</v>
      </c>
      <c r="N15" s="1">
        <f>IF(Regions_master[[#This Row],[Forecaster]]=Regions_master[[#Headers],[Grigor]],1,0)</f>
        <v>1</v>
      </c>
      <c r="O15" s="1">
        <f>IF(Regions_master[[#This Row],[Forecaster]]=Regions_master[[#Headers],[Ingo]],1,0)</f>
        <v>0</v>
      </c>
      <c r="P15" s="1">
        <f>IF(Regions_master[[#This Row],[Forecaster]]=Regions_master[[#Headers],[Danyira]],1,0)</f>
        <v>0</v>
      </c>
      <c r="Q15" s="1">
        <f>IF(Regions_master[[#This Row],[Forecaster]]=Regions_master[[#Headers],[Sebastian]],1,0)</f>
        <v>0</v>
      </c>
      <c r="R15" s="1">
        <f>IF(Regions_master[[#This Row],[Forecaster]]=Regions_master[[#Headers],[Yasu]],1,0)</f>
        <v>0</v>
      </c>
      <c r="S15" s="1">
        <f>IF(Regions_master[[#This Row],[Forecaster]]=Regions_master[[#Headers],[Zhenqian]],1,0)</f>
        <v>0</v>
      </c>
      <c r="T15" s="1">
        <f>IF(Regions_master[[#This Row],[Forecaster]]=Regions_master[[#Headers],[Berna]],1,0)</f>
        <v>0</v>
      </c>
      <c r="U15" s="1">
        <f>IF(Regions_master[[#This Row],[Forecaster]]=Regions_master[[#Headers],[Julian]],1,0)</f>
        <v>0</v>
      </c>
      <c r="V15" s="1">
        <f>IF(Regions_master[[#This Row],[Forecaster]]=Regions_master[[#Headers],[Katarzyna]],1,0)</f>
        <v>0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1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1</v>
      </c>
      <c r="DP15" s="1">
        <v>1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1</v>
      </c>
      <c r="ED15" s="1">
        <v>0</v>
      </c>
      <c r="EE15" s="1">
        <v>0</v>
      </c>
      <c r="EF15" s="1">
        <v>1</v>
      </c>
      <c r="EG15" s="1">
        <v>0</v>
      </c>
      <c r="EH15" s="1">
        <v>1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1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1</v>
      </c>
      <c r="EZ15" s="1">
        <v>1</v>
      </c>
      <c r="FA15" s="1">
        <v>0</v>
      </c>
      <c r="FB15" s="1">
        <v>1</v>
      </c>
      <c r="FC15" s="1">
        <v>1</v>
      </c>
      <c r="FD15" s="1">
        <v>1</v>
      </c>
      <c r="FE15" s="1">
        <v>1</v>
      </c>
      <c r="FF15" s="1">
        <v>1</v>
      </c>
      <c r="FG15" s="1">
        <v>1</v>
      </c>
      <c r="FH15" s="1">
        <v>1</v>
      </c>
      <c r="FI15" s="1">
        <v>0</v>
      </c>
      <c r="FJ15" s="1">
        <v>0</v>
      </c>
      <c r="FK15" s="1">
        <v>0</v>
      </c>
      <c r="FL15" s="1">
        <v>0</v>
      </c>
      <c r="FM15" s="1">
        <v>1</v>
      </c>
      <c r="FN15" s="1">
        <v>1</v>
      </c>
      <c r="FO15" s="1">
        <v>1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1</v>
      </c>
      <c r="GK15" s="1">
        <v>1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1</v>
      </c>
      <c r="GU15" s="1">
        <v>1</v>
      </c>
      <c r="GV15" s="1">
        <v>1</v>
      </c>
      <c r="GW15" s="1">
        <v>1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1</v>
      </c>
      <c r="HD15" s="1">
        <v>1</v>
      </c>
      <c r="HE15" s="1">
        <v>1</v>
      </c>
      <c r="HF15" s="1">
        <v>1</v>
      </c>
    </row>
    <row r="16" spans="1:214" x14ac:dyDescent="0.2">
      <c r="A16" s="1" t="s">
        <v>274</v>
      </c>
      <c r="B16" s="1" t="s">
        <v>274</v>
      </c>
      <c r="D16" s="1" t="s">
        <v>275</v>
      </c>
      <c r="E16" s="1" t="s">
        <v>215</v>
      </c>
      <c r="F16" s="1">
        <v>0</v>
      </c>
      <c r="G16" s="1" t="s">
        <v>251</v>
      </c>
      <c r="H16" s="1" t="s">
        <v>252</v>
      </c>
      <c r="I16" s="1" t="s">
        <v>253</v>
      </c>
      <c r="J16" s="1">
        <v>56</v>
      </c>
      <c r="K16" s="1" t="s">
        <v>22</v>
      </c>
      <c r="L16" s="1" t="s">
        <v>254</v>
      </c>
      <c r="M16" s="1" t="s">
        <v>14</v>
      </c>
      <c r="N16" s="1">
        <f>IF(Regions_master[[#This Row],[Forecaster]]=Regions_master[[#Headers],[Grigor]],1,0)</f>
        <v>0</v>
      </c>
      <c r="O16" s="1">
        <f>IF(Regions_master[[#This Row],[Forecaster]]=Regions_master[[#Headers],[Ingo]],1,0)</f>
        <v>1</v>
      </c>
      <c r="P16" s="1">
        <f>IF(Regions_master[[#This Row],[Forecaster]]=Regions_master[[#Headers],[Danyira]],1,0)</f>
        <v>0</v>
      </c>
      <c r="Q16" s="1">
        <f>IF(Regions_master[[#This Row],[Forecaster]]=Regions_master[[#Headers],[Sebastian]],1,0)</f>
        <v>0</v>
      </c>
      <c r="R16" s="1">
        <f>IF(Regions_master[[#This Row],[Forecaster]]=Regions_master[[#Headers],[Yasu]],1,0)</f>
        <v>0</v>
      </c>
      <c r="S16" s="1">
        <f>IF(Regions_master[[#This Row],[Forecaster]]=Regions_master[[#Headers],[Zhenqian]],1,0)</f>
        <v>0</v>
      </c>
      <c r="T16" s="1">
        <f>IF(Regions_master[[#This Row],[Forecaster]]=Regions_master[[#Headers],[Berna]],1,0)</f>
        <v>0</v>
      </c>
      <c r="U16" s="1">
        <f>IF(Regions_master[[#This Row],[Forecaster]]=Regions_master[[#Headers],[Julian]],1,0)</f>
        <v>0</v>
      </c>
      <c r="V16" s="1">
        <f>IF(Regions_master[[#This Row],[Forecaster]]=Regions_master[[#Headers],[Katarzyna]],1,0)</f>
        <v>0</v>
      </c>
      <c r="W16" s="1">
        <v>1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0</v>
      </c>
      <c r="AI16" s="1">
        <v>0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1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1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1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1</v>
      </c>
      <c r="EE16" s="1">
        <v>0</v>
      </c>
      <c r="EF16" s="1">
        <v>1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1</v>
      </c>
      <c r="FB16" s="1">
        <v>1</v>
      </c>
      <c r="FC16" s="1">
        <v>0</v>
      </c>
      <c r="FD16" s="1">
        <v>1</v>
      </c>
      <c r="FE16" s="1">
        <v>1</v>
      </c>
      <c r="FF16" s="1">
        <v>1</v>
      </c>
      <c r="FG16" s="1">
        <v>1</v>
      </c>
      <c r="FH16" s="1">
        <v>1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1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1</v>
      </c>
      <c r="GH16" s="1">
        <v>0</v>
      </c>
      <c r="GI16" s="1">
        <v>0</v>
      </c>
      <c r="GJ16" s="1">
        <v>1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</row>
    <row r="17" spans="1:214" x14ac:dyDescent="0.2">
      <c r="A17" s="1" t="s">
        <v>276</v>
      </c>
      <c r="B17" s="1" t="s">
        <v>276</v>
      </c>
      <c r="D17" s="1" t="s">
        <v>277</v>
      </c>
      <c r="E17" s="1" t="s">
        <v>215</v>
      </c>
      <c r="F17" s="1">
        <v>0</v>
      </c>
      <c r="G17" s="1" t="s">
        <v>238</v>
      </c>
      <c r="H17" s="1" t="s">
        <v>259</v>
      </c>
      <c r="I17" s="1" t="s">
        <v>260</v>
      </c>
      <c r="J17" s="1">
        <v>84</v>
      </c>
      <c r="K17" s="1" t="s">
        <v>24</v>
      </c>
      <c r="L17" s="1" t="s">
        <v>261</v>
      </c>
      <c r="M17" s="1" t="s">
        <v>16</v>
      </c>
      <c r="N17" s="1">
        <f>IF(Regions_master[[#This Row],[Forecaster]]=Regions_master[[#Headers],[Grigor]],1,0)</f>
        <v>0</v>
      </c>
      <c r="O17" s="1">
        <f>IF(Regions_master[[#This Row],[Forecaster]]=Regions_master[[#Headers],[Ingo]],1,0)</f>
        <v>0</v>
      </c>
      <c r="P17" s="1">
        <f>IF(Regions_master[[#This Row],[Forecaster]]=Regions_master[[#Headers],[Danyira]],1,0)</f>
        <v>0</v>
      </c>
      <c r="Q17" s="1">
        <f>IF(Regions_master[[#This Row],[Forecaster]]=Regions_master[[#Headers],[Sebastian]],1,0)</f>
        <v>1</v>
      </c>
      <c r="R17" s="1">
        <f>IF(Regions_master[[#This Row],[Forecaster]]=Regions_master[[#Headers],[Yasu]],1,0)</f>
        <v>0</v>
      </c>
      <c r="S17" s="1">
        <f>IF(Regions_master[[#This Row],[Forecaster]]=Regions_master[[#Headers],[Zhenqian]],1,0)</f>
        <v>0</v>
      </c>
      <c r="T17" s="1">
        <f>IF(Regions_master[[#This Row],[Forecaster]]=Regions_master[[#Headers],[Berna]],1,0)</f>
        <v>0</v>
      </c>
      <c r="U17" s="1">
        <f>IF(Regions_master[[#This Row],[Forecaster]]=Regions_master[[#Headers],[Julian]],1,0)</f>
        <v>0</v>
      </c>
      <c r="V17" s="1">
        <f>IF(Regions_master[[#This Row],[Forecaster]]=Regions_master[[#Headers],[Katarzyna]],1,0)</f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1</v>
      </c>
      <c r="CS17" s="1">
        <v>0</v>
      </c>
      <c r="CT17" s="1">
        <v>0</v>
      </c>
      <c r="CU17" s="1">
        <v>1</v>
      </c>
      <c r="CV17" s="1">
        <v>1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1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1</v>
      </c>
      <c r="DQ17" s="1">
        <v>1</v>
      </c>
      <c r="DR17" s="1">
        <v>1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1</v>
      </c>
      <c r="EE17" s="1">
        <v>0</v>
      </c>
      <c r="EF17" s="1">
        <v>0</v>
      </c>
      <c r="EG17" s="1">
        <v>1</v>
      </c>
      <c r="EH17" s="1">
        <v>0</v>
      </c>
      <c r="EI17" s="1">
        <v>1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1</v>
      </c>
      <c r="EP17" s="1">
        <v>0</v>
      </c>
      <c r="EQ17" s="1">
        <v>0</v>
      </c>
      <c r="ER17" s="1">
        <v>0</v>
      </c>
      <c r="ES17" s="1">
        <v>1</v>
      </c>
      <c r="ET17" s="1">
        <v>1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1</v>
      </c>
      <c r="FB17" s="1">
        <v>0</v>
      </c>
      <c r="FC17" s="1">
        <v>0</v>
      </c>
      <c r="FD17" s="1">
        <v>1</v>
      </c>
      <c r="FE17" s="1">
        <v>1</v>
      </c>
      <c r="FF17" s="1">
        <v>1</v>
      </c>
      <c r="FG17" s="1">
        <v>1</v>
      </c>
      <c r="FH17" s="1">
        <v>1</v>
      </c>
      <c r="FI17" s="1">
        <v>1</v>
      </c>
      <c r="FJ17" s="1">
        <v>1</v>
      </c>
      <c r="FK17" s="1">
        <v>1</v>
      </c>
      <c r="FL17" s="1">
        <v>1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1</v>
      </c>
      <c r="FW17" s="1">
        <v>0</v>
      </c>
      <c r="FX17" s="1">
        <v>0</v>
      </c>
      <c r="FY17" s="1">
        <v>0</v>
      </c>
      <c r="FZ17" s="1">
        <v>0</v>
      </c>
      <c r="GA17" s="1">
        <v>1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1</v>
      </c>
      <c r="GH17" s="1">
        <v>1</v>
      </c>
      <c r="GI17" s="1">
        <v>1</v>
      </c>
      <c r="GJ17" s="1">
        <v>0</v>
      </c>
      <c r="GK17" s="1">
        <v>0</v>
      </c>
      <c r="GL17" s="1">
        <v>0</v>
      </c>
      <c r="GM17" s="1">
        <v>0</v>
      </c>
      <c r="GN17" s="1">
        <v>1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1</v>
      </c>
      <c r="GU17" s="1">
        <v>1</v>
      </c>
      <c r="GV17" s="1">
        <v>1</v>
      </c>
      <c r="GW17" s="1">
        <v>1</v>
      </c>
      <c r="GX17" s="1">
        <v>0</v>
      </c>
      <c r="GY17" s="1">
        <v>0</v>
      </c>
      <c r="GZ17" s="1">
        <v>0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0</v>
      </c>
    </row>
    <row r="18" spans="1:214" x14ac:dyDescent="0.2">
      <c r="A18" s="1" t="s">
        <v>278</v>
      </c>
      <c r="B18" s="1" t="s">
        <v>278</v>
      </c>
      <c r="D18" s="1" t="s">
        <v>279</v>
      </c>
      <c r="E18" s="1" t="s">
        <v>215</v>
      </c>
      <c r="F18" s="1">
        <v>0</v>
      </c>
      <c r="G18" s="1" t="s">
        <v>227</v>
      </c>
      <c r="H18" s="1" t="s">
        <v>280</v>
      </c>
      <c r="I18" s="1" t="s">
        <v>281</v>
      </c>
      <c r="J18" s="1">
        <v>204</v>
      </c>
      <c r="K18" s="1" t="s">
        <v>24</v>
      </c>
      <c r="L18" s="1" t="s">
        <v>219</v>
      </c>
      <c r="M18" s="1" t="s">
        <v>19</v>
      </c>
      <c r="N18" s="1">
        <f>IF(Regions_master[[#This Row],[Forecaster]]=Regions_master[[#Headers],[Grigor]],1,0)</f>
        <v>0</v>
      </c>
      <c r="O18" s="1">
        <f>IF(Regions_master[[#This Row],[Forecaster]]=Regions_master[[#Headers],[Ingo]],1,0)</f>
        <v>0</v>
      </c>
      <c r="P18" s="1">
        <f>IF(Regions_master[[#This Row],[Forecaster]]=Regions_master[[#Headers],[Danyira]],1,0)</f>
        <v>0</v>
      </c>
      <c r="Q18" s="1">
        <f>IF(Regions_master[[#This Row],[Forecaster]]=Regions_master[[#Headers],[Sebastian]],1,0)</f>
        <v>0</v>
      </c>
      <c r="R18" s="1">
        <f>IF(Regions_master[[#This Row],[Forecaster]]=Regions_master[[#Headers],[Yasu]],1,0)</f>
        <v>0</v>
      </c>
      <c r="S18" s="1">
        <f>IF(Regions_master[[#This Row],[Forecaster]]=Regions_master[[#Headers],[Zhenqian]],1,0)</f>
        <v>0</v>
      </c>
      <c r="T18" s="1">
        <f>IF(Regions_master[[#This Row],[Forecaster]]=Regions_master[[#Headers],[Berna]],1,0)</f>
        <v>0</v>
      </c>
      <c r="U18" s="1">
        <f>IF(Regions_master[[#This Row],[Forecaster]]=Regions_master[[#Headers],[Julian]],1,0)</f>
        <v>1</v>
      </c>
      <c r="V18" s="1">
        <f>IF(Regions_master[[#This Row],[Forecaster]]=Regions_master[[#Headers],[Katarzyna]],1,0)</f>
        <v>0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0</v>
      </c>
      <c r="BH18" s="1">
        <v>1</v>
      </c>
      <c r="BI18" s="1">
        <v>1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1</v>
      </c>
      <c r="CQ18" s="1">
        <v>0</v>
      </c>
      <c r="CR18" s="1">
        <v>0</v>
      </c>
      <c r="CS18" s="1">
        <v>0</v>
      </c>
      <c r="CT18" s="1">
        <v>0</v>
      </c>
      <c r="CU18" s="1">
        <v>1</v>
      </c>
      <c r="CV18" s="1">
        <v>1</v>
      </c>
      <c r="CW18" s="1">
        <v>1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1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1</v>
      </c>
      <c r="DQ18" s="1">
        <v>1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1</v>
      </c>
      <c r="DZ18" s="1">
        <v>0</v>
      </c>
      <c r="EA18" s="1">
        <v>0</v>
      </c>
      <c r="EB18" s="1">
        <v>0</v>
      </c>
      <c r="EC18" s="1">
        <v>1</v>
      </c>
      <c r="ED18" s="1">
        <v>0</v>
      </c>
      <c r="EE18" s="1">
        <v>0</v>
      </c>
      <c r="EF18" s="1">
        <v>0</v>
      </c>
      <c r="EG18" s="1">
        <v>1</v>
      </c>
      <c r="EH18" s="1">
        <v>0</v>
      </c>
      <c r="EI18" s="1">
        <v>0</v>
      </c>
      <c r="EJ18" s="1">
        <v>1</v>
      </c>
      <c r="EK18" s="1">
        <v>1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1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1</v>
      </c>
      <c r="FE18" s="1">
        <v>1</v>
      </c>
      <c r="FF18" s="1">
        <v>1</v>
      </c>
      <c r="FG18" s="1">
        <v>1</v>
      </c>
      <c r="FH18" s="1">
        <v>1</v>
      </c>
      <c r="FI18" s="1">
        <v>1</v>
      </c>
      <c r="FJ18" s="1">
        <v>1</v>
      </c>
      <c r="FK18" s="1">
        <v>1</v>
      </c>
      <c r="FL18" s="1">
        <v>1</v>
      </c>
      <c r="FM18" s="1">
        <v>0</v>
      </c>
      <c r="FN18" s="1">
        <v>0</v>
      </c>
      <c r="FO18" s="1">
        <v>0</v>
      </c>
      <c r="FP18" s="1">
        <v>1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1</v>
      </c>
      <c r="FY18" s="1">
        <v>0</v>
      </c>
      <c r="FZ18" s="1">
        <v>0</v>
      </c>
      <c r="GA18" s="1">
        <v>0</v>
      </c>
      <c r="GB18" s="1">
        <v>0</v>
      </c>
      <c r="GC18" s="1">
        <v>1</v>
      </c>
      <c r="GD18" s="1">
        <v>0</v>
      </c>
      <c r="GE18" s="1">
        <v>0</v>
      </c>
      <c r="GF18" s="1">
        <v>0</v>
      </c>
      <c r="GG18" s="1">
        <v>0</v>
      </c>
      <c r="GH18" s="1">
        <v>1</v>
      </c>
      <c r="GI18" s="1">
        <v>1</v>
      </c>
      <c r="GJ18" s="1">
        <v>0</v>
      </c>
      <c r="GK18" s="1">
        <v>0</v>
      </c>
      <c r="GL18" s="1">
        <v>1</v>
      </c>
      <c r="GM18" s="1">
        <v>0</v>
      </c>
      <c r="GN18" s="1">
        <v>1</v>
      </c>
      <c r="GO18" s="1">
        <v>1</v>
      </c>
      <c r="GP18" s="1">
        <v>0</v>
      </c>
      <c r="GQ18" s="1">
        <v>1</v>
      </c>
      <c r="GR18" s="1">
        <v>0</v>
      </c>
      <c r="GS18" s="1">
        <v>0</v>
      </c>
      <c r="GT18" s="1">
        <v>1</v>
      </c>
      <c r="GU18" s="1">
        <v>1</v>
      </c>
      <c r="GV18" s="1">
        <v>1</v>
      </c>
      <c r="GW18" s="1">
        <v>1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1</v>
      </c>
      <c r="HD18" s="1">
        <v>1</v>
      </c>
      <c r="HE18" s="1">
        <v>0</v>
      </c>
      <c r="HF18" s="1">
        <v>0</v>
      </c>
    </row>
    <row r="19" spans="1:214" x14ac:dyDescent="0.2">
      <c r="A19" s="1" t="s">
        <v>282</v>
      </c>
      <c r="B19" s="1" t="s">
        <v>282</v>
      </c>
      <c r="D19" s="1" t="s">
        <v>283</v>
      </c>
      <c r="E19" s="1" t="s">
        <v>215</v>
      </c>
      <c r="F19" s="1">
        <v>0</v>
      </c>
      <c r="G19" s="1" t="s">
        <v>216</v>
      </c>
      <c r="H19" s="1" t="s">
        <v>217</v>
      </c>
      <c r="I19" s="1" t="s">
        <v>218</v>
      </c>
      <c r="J19" s="1">
        <v>64</v>
      </c>
      <c r="K19" s="1" t="s">
        <v>24</v>
      </c>
      <c r="L19" s="1" t="s">
        <v>219</v>
      </c>
      <c r="M19" s="1" t="s">
        <v>15</v>
      </c>
      <c r="N19" s="1">
        <f>IF(Regions_master[[#This Row],[Forecaster]]=Regions_master[[#Headers],[Grigor]],1,0)</f>
        <v>0</v>
      </c>
      <c r="O19" s="1">
        <f>IF(Regions_master[[#This Row],[Forecaster]]=Regions_master[[#Headers],[Ingo]],1,0)</f>
        <v>0</v>
      </c>
      <c r="P19" s="1">
        <f>IF(Regions_master[[#This Row],[Forecaster]]=Regions_master[[#Headers],[Danyira]],1,0)</f>
        <v>1</v>
      </c>
      <c r="Q19" s="1">
        <f>IF(Regions_master[[#This Row],[Forecaster]]=Regions_master[[#Headers],[Sebastian]],1,0)</f>
        <v>0</v>
      </c>
      <c r="R19" s="1">
        <f>IF(Regions_master[[#This Row],[Forecaster]]=Regions_master[[#Headers],[Yasu]],1,0)</f>
        <v>0</v>
      </c>
      <c r="S19" s="1">
        <f>IF(Regions_master[[#This Row],[Forecaster]]=Regions_master[[#Headers],[Zhenqian]],1,0)</f>
        <v>0</v>
      </c>
      <c r="T19" s="1">
        <f>IF(Regions_master[[#This Row],[Forecaster]]=Regions_master[[#Headers],[Berna]],1,0)</f>
        <v>0</v>
      </c>
      <c r="U19" s="1">
        <f>IF(Regions_master[[#This Row],[Forecaster]]=Regions_master[[#Headers],[Julian]],1,0)</f>
        <v>0</v>
      </c>
      <c r="V19" s="1">
        <f>IF(Regions_master[[#This Row],[Forecaster]]=Regions_master[[#Headers],[Katarzyna]],1,0)</f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1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0</v>
      </c>
      <c r="DE19" s="1">
        <v>1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1</v>
      </c>
      <c r="DN19" s="1">
        <v>0</v>
      </c>
      <c r="DO19" s="1">
        <v>0</v>
      </c>
      <c r="DP19" s="1">
        <v>1</v>
      </c>
      <c r="DQ19" s="1">
        <v>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1</v>
      </c>
      <c r="EC19" s="1">
        <v>1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1</v>
      </c>
      <c r="EN19" s="1">
        <v>1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1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1</v>
      </c>
      <c r="FE19" s="1">
        <v>1</v>
      </c>
      <c r="FF19" s="1">
        <v>1</v>
      </c>
      <c r="FG19" s="1">
        <v>1</v>
      </c>
      <c r="FH19" s="1">
        <v>1</v>
      </c>
      <c r="FI19" s="1">
        <v>1</v>
      </c>
      <c r="FJ19" s="1">
        <v>1</v>
      </c>
      <c r="FK19" s="1">
        <v>1</v>
      </c>
      <c r="FL19" s="1">
        <v>1</v>
      </c>
      <c r="FM19" s="1">
        <v>0</v>
      </c>
      <c r="FN19" s="1">
        <v>0</v>
      </c>
      <c r="FO19" s="1">
        <v>0</v>
      </c>
      <c r="FP19" s="1">
        <v>0</v>
      </c>
      <c r="FQ19" s="1">
        <v>1</v>
      </c>
      <c r="FR19" s="1">
        <v>1</v>
      </c>
      <c r="FS19" s="1">
        <v>1</v>
      </c>
      <c r="FT19" s="1">
        <v>1</v>
      </c>
      <c r="FU19" s="1">
        <v>0</v>
      </c>
      <c r="FV19" s="1">
        <v>0</v>
      </c>
      <c r="FW19" s="1">
        <v>0</v>
      </c>
      <c r="FX19" s="1">
        <v>0</v>
      </c>
      <c r="FY19" s="1">
        <v>1</v>
      </c>
      <c r="FZ19" s="1">
        <v>0</v>
      </c>
      <c r="GA19" s="1">
        <v>0</v>
      </c>
      <c r="GB19" s="1">
        <v>0</v>
      </c>
      <c r="GC19" s="1">
        <v>0</v>
      </c>
      <c r="GD19" s="1">
        <v>1</v>
      </c>
      <c r="GE19" s="1">
        <v>1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1</v>
      </c>
      <c r="GM19" s="1">
        <v>0</v>
      </c>
      <c r="GN19" s="1">
        <v>1</v>
      </c>
      <c r="GO19" s="1">
        <v>0</v>
      </c>
      <c r="GP19" s="1">
        <v>0</v>
      </c>
      <c r="GQ19" s="1">
        <v>0</v>
      </c>
      <c r="GR19" s="1">
        <v>1</v>
      </c>
      <c r="GS19" s="1">
        <v>0</v>
      </c>
      <c r="GT19" s="1">
        <v>1</v>
      </c>
      <c r="GU19" s="1">
        <v>1</v>
      </c>
      <c r="GV19" s="1">
        <v>1</v>
      </c>
      <c r="GW19" s="1">
        <v>1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1</v>
      </c>
      <c r="HD19" s="1">
        <v>1</v>
      </c>
      <c r="HE19" s="1">
        <v>0</v>
      </c>
      <c r="HF19" s="1">
        <v>0</v>
      </c>
    </row>
    <row r="20" spans="1:214" x14ac:dyDescent="0.2">
      <c r="A20" s="1" t="s">
        <v>284</v>
      </c>
      <c r="B20" s="1" t="s">
        <v>285</v>
      </c>
      <c r="D20" s="1" t="s">
        <v>286</v>
      </c>
      <c r="E20" s="1" t="s">
        <v>215</v>
      </c>
      <c r="F20" s="1">
        <v>0</v>
      </c>
      <c r="G20" s="1" t="s">
        <v>238</v>
      </c>
      <c r="H20" s="1" t="s">
        <v>239</v>
      </c>
      <c r="I20" s="1" t="s">
        <v>240</v>
      </c>
      <c r="J20" s="1">
        <v>68</v>
      </c>
      <c r="K20" s="1" t="s">
        <v>24</v>
      </c>
      <c r="L20" s="1" t="s">
        <v>241</v>
      </c>
      <c r="M20" s="1" t="s">
        <v>16</v>
      </c>
      <c r="N20" s="1">
        <f>IF(Regions_master[[#This Row],[Forecaster]]=Regions_master[[#Headers],[Grigor]],1,0)</f>
        <v>0</v>
      </c>
      <c r="O20" s="1">
        <f>IF(Regions_master[[#This Row],[Forecaster]]=Regions_master[[#Headers],[Ingo]],1,0)</f>
        <v>0</v>
      </c>
      <c r="P20" s="1">
        <f>IF(Regions_master[[#This Row],[Forecaster]]=Regions_master[[#Headers],[Danyira]],1,0)</f>
        <v>0</v>
      </c>
      <c r="Q20" s="1">
        <f>IF(Regions_master[[#This Row],[Forecaster]]=Regions_master[[#Headers],[Sebastian]],1,0)</f>
        <v>1</v>
      </c>
      <c r="R20" s="1">
        <f>IF(Regions_master[[#This Row],[Forecaster]]=Regions_master[[#Headers],[Yasu]],1,0)</f>
        <v>0</v>
      </c>
      <c r="S20" s="1">
        <f>IF(Regions_master[[#This Row],[Forecaster]]=Regions_master[[#Headers],[Zhenqian]],1,0)</f>
        <v>0</v>
      </c>
      <c r="T20" s="1">
        <f>IF(Regions_master[[#This Row],[Forecaster]]=Regions_master[[#Headers],[Berna]],1,0)</f>
        <v>0</v>
      </c>
      <c r="U20" s="1">
        <f>IF(Regions_master[[#This Row],[Forecaster]]=Regions_master[[#Headers],[Julian]],1,0)</f>
        <v>0</v>
      </c>
      <c r="V20" s="1">
        <f>IF(Regions_master[[#This Row],[Forecaster]]=Regions_master[[#Headers],[Katarzyna]],1,0)</f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1</v>
      </c>
      <c r="BG20" s="1">
        <v>0</v>
      </c>
      <c r="BH20" s="1">
        <v>0</v>
      </c>
      <c r="BI20" s="1">
        <v>1</v>
      </c>
      <c r="BJ20" s="1">
        <v>1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1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</v>
      </c>
      <c r="CT20" s="1">
        <v>0</v>
      </c>
      <c r="CU20" s="1">
        <v>1</v>
      </c>
      <c r="CV20" s="1">
        <v>1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1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1</v>
      </c>
      <c r="DQ20" s="1">
        <v>1</v>
      </c>
      <c r="DR20" s="1">
        <v>1</v>
      </c>
      <c r="DS20" s="1">
        <v>1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1</v>
      </c>
      <c r="ED20" s="1">
        <v>0</v>
      </c>
      <c r="EE20" s="1">
        <v>0</v>
      </c>
      <c r="EF20" s="1">
        <v>0</v>
      </c>
      <c r="EG20" s="1">
        <v>0</v>
      </c>
      <c r="EH20" s="1">
        <v>1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1</v>
      </c>
      <c r="EP20" s="1">
        <v>0</v>
      </c>
      <c r="EQ20" s="1">
        <v>0</v>
      </c>
      <c r="ER20" s="1">
        <v>1</v>
      </c>
      <c r="ES20" s="1">
        <v>0</v>
      </c>
      <c r="ET20" s="1">
        <v>0</v>
      </c>
      <c r="EU20" s="1">
        <v>1</v>
      </c>
      <c r="EV20" s="1">
        <v>0</v>
      </c>
      <c r="EW20" s="1">
        <v>1</v>
      </c>
      <c r="EX20" s="1">
        <v>1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1</v>
      </c>
      <c r="FE20" s="1">
        <v>1</v>
      </c>
      <c r="FF20" s="1">
        <v>1</v>
      </c>
      <c r="FG20" s="1">
        <v>1</v>
      </c>
      <c r="FH20" s="1">
        <v>1</v>
      </c>
      <c r="FI20" s="1">
        <v>1</v>
      </c>
      <c r="FJ20" s="1">
        <v>1</v>
      </c>
      <c r="FK20" s="1">
        <v>1</v>
      </c>
      <c r="FL20" s="1">
        <v>1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1</v>
      </c>
      <c r="FW20" s="1">
        <v>1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1</v>
      </c>
      <c r="GI20" s="1">
        <v>0</v>
      </c>
      <c r="GJ20" s="1">
        <v>0</v>
      </c>
      <c r="GK20" s="1">
        <v>1</v>
      </c>
      <c r="GL20" s="1">
        <v>1</v>
      </c>
      <c r="GM20" s="1">
        <v>0</v>
      </c>
      <c r="GN20" s="1">
        <v>1</v>
      </c>
      <c r="GO20" s="1">
        <v>0</v>
      </c>
      <c r="GP20" s="1">
        <v>0</v>
      </c>
      <c r="GQ20" s="1">
        <v>0</v>
      </c>
      <c r="GR20" s="1">
        <v>0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1</v>
      </c>
      <c r="HD20" s="1">
        <v>1</v>
      </c>
      <c r="HE20" s="1">
        <v>0</v>
      </c>
      <c r="HF20" s="1">
        <v>0</v>
      </c>
    </row>
    <row r="21" spans="1:214" x14ac:dyDescent="0.2">
      <c r="A21" s="1" t="s">
        <v>287</v>
      </c>
      <c r="B21" s="1" t="s">
        <v>288</v>
      </c>
      <c r="D21" s="1" t="s">
        <v>289</v>
      </c>
      <c r="E21" s="1" t="s">
        <v>215</v>
      </c>
      <c r="F21" s="1">
        <v>0</v>
      </c>
      <c r="G21" s="1" t="s">
        <v>222</v>
      </c>
      <c r="H21" s="1" t="s">
        <v>223</v>
      </c>
      <c r="I21" s="1" t="s">
        <v>222</v>
      </c>
      <c r="J21" s="1">
        <v>70</v>
      </c>
      <c r="K21" s="1" t="s">
        <v>23</v>
      </c>
      <c r="L21" s="1" t="s">
        <v>254</v>
      </c>
      <c r="M21" s="1" t="s">
        <v>13</v>
      </c>
      <c r="N21" s="1">
        <f>IF(Regions_master[[#This Row],[Forecaster]]=Regions_master[[#Headers],[Grigor]],1,0)</f>
        <v>1</v>
      </c>
      <c r="O21" s="1">
        <f>IF(Regions_master[[#This Row],[Forecaster]]=Regions_master[[#Headers],[Ingo]],1,0)</f>
        <v>0</v>
      </c>
      <c r="P21" s="1">
        <f>IF(Regions_master[[#This Row],[Forecaster]]=Regions_master[[#Headers],[Danyira]],1,0)</f>
        <v>0</v>
      </c>
      <c r="Q21" s="1">
        <f>IF(Regions_master[[#This Row],[Forecaster]]=Regions_master[[#Headers],[Sebastian]],1,0)</f>
        <v>0</v>
      </c>
      <c r="R21" s="1">
        <f>IF(Regions_master[[#This Row],[Forecaster]]=Regions_master[[#Headers],[Yasu]],1,0)</f>
        <v>0</v>
      </c>
      <c r="S21" s="1">
        <f>IF(Regions_master[[#This Row],[Forecaster]]=Regions_master[[#Headers],[Zhenqian]],1,0)</f>
        <v>0</v>
      </c>
      <c r="T21" s="1">
        <f>IF(Regions_master[[#This Row],[Forecaster]]=Regions_master[[#Headers],[Berna]],1,0)</f>
        <v>0</v>
      </c>
      <c r="U21" s="1">
        <f>IF(Regions_master[[#This Row],[Forecaster]]=Regions_master[[#Headers],[Julian]],1,0)</f>
        <v>0</v>
      </c>
      <c r="V21" s="1">
        <f>IF(Regions_master[[#This Row],[Forecaster]]=Regions_master[[#Headers],[Katarzyna]],1,0)</f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1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1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1</v>
      </c>
      <c r="EE21" s="1">
        <v>0</v>
      </c>
      <c r="EF21" s="1">
        <v>1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1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1</v>
      </c>
      <c r="FA21" s="1">
        <v>1</v>
      </c>
      <c r="FB21" s="1">
        <v>1</v>
      </c>
      <c r="FC21" s="1">
        <v>0</v>
      </c>
      <c r="FD21" s="1">
        <v>1</v>
      </c>
      <c r="FE21" s="1">
        <v>1</v>
      </c>
      <c r="FF21" s="1">
        <v>1</v>
      </c>
      <c r="FG21" s="1">
        <v>1</v>
      </c>
      <c r="FH21" s="1">
        <v>1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1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1</v>
      </c>
      <c r="GH21" s="1">
        <v>0</v>
      </c>
      <c r="GI21" s="1">
        <v>0</v>
      </c>
      <c r="GJ21" s="1">
        <v>1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1</v>
      </c>
      <c r="GU21" s="1">
        <v>1</v>
      </c>
      <c r="GV21" s="1">
        <v>1</v>
      </c>
      <c r="GW21" s="1">
        <v>1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1</v>
      </c>
      <c r="HD21" s="1">
        <v>1</v>
      </c>
      <c r="HE21" s="1">
        <v>1</v>
      </c>
      <c r="HF21" s="1">
        <v>0</v>
      </c>
    </row>
    <row r="22" spans="1:214" x14ac:dyDescent="0.2">
      <c r="A22" s="1" t="s">
        <v>290</v>
      </c>
      <c r="B22" s="1" t="s">
        <v>290</v>
      </c>
      <c r="D22" s="1" t="s">
        <v>291</v>
      </c>
      <c r="E22" s="1" t="s">
        <v>215</v>
      </c>
      <c r="F22" s="1">
        <v>0</v>
      </c>
      <c r="G22" s="1" t="s">
        <v>227</v>
      </c>
      <c r="H22" s="1" t="s">
        <v>233</v>
      </c>
      <c r="I22" s="1" t="s">
        <v>234</v>
      </c>
      <c r="J22" s="1">
        <v>72</v>
      </c>
      <c r="K22" s="1" t="s">
        <v>24</v>
      </c>
      <c r="L22" s="1" t="s">
        <v>219</v>
      </c>
      <c r="M22" s="1" t="s">
        <v>20</v>
      </c>
      <c r="N22" s="1">
        <f>IF(Regions_master[[#This Row],[Forecaster]]=Regions_master[[#Headers],[Grigor]],1,0)</f>
        <v>0</v>
      </c>
      <c r="O22" s="1">
        <f>IF(Regions_master[[#This Row],[Forecaster]]=Regions_master[[#Headers],[Ingo]],1,0)</f>
        <v>0</v>
      </c>
      <c r="P22" s="1">
        <f>IF(Regions_master[[#This Row],[Forecaster]]=Regions_master[[#Headers],[Danyira]],1,0)</f>
        <v>0</v>
      </c>
      <c r="Q22" s="1">
        <f>IF(Regions_master[[#This Row],[Forecaster]]=Regions_master[[#Headers],[Sebastian]],1,0)</f>
        <v>0</v>
      </c>
      <c r="R22" s="1">
        <f>IF(Regions_master[[#This Row],[Forecaster]]=Regions_master[[#Headers],[Yasu]],1,0)</f>
        <v>0</v>
      </c>
      <c r="S22" s="1">
        <f>IF(Regions_master[[#This Row],[Forecaster]]=Regions_master[[#Headers],[Zhenqian]],1,0)</f>
        <v>0</v>
      </c>
      <c r="T22" s="1">
        <f>IF(Regions_master[[#This Row],[Forecaster]]=Regions_master[[#Headers],[Berna]],1,0)</f>
        <v>0</v>
      </c>
      <c r="U22" s="1">
        <f>IF(Regions_master[[#This Row],[Forecaster]]=Regions_master[[#Headers],[Julian]],1,0)</f>
        <v>0</v>
      </c>
      <c r="V22" s="1">
        <f>IF(Regions_master[[#This Row],[Forecaster]]=Regions_master[[#Headers],[Katarzyna]],1,0)</f>
        <v>1</v>
      </c>
      <c r="W22" s="1">
        <v>1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>
        <v>1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1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1</v>
      </c>
      <c r="DQ22" s="1">
        <v>1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1</v>
      </c>
      <c r="DY22" s="1">
        <v>0</v>
      </c>
      <c r="DZ22" s="1">
        <v>0</v>
      </c>
      <c r="EA22" s="1">
        <v>0</v>
      </c>
      <c r="EB22" s="1">
        <v>0</v>
      </c>
      <c r="EC22" s="1">
        <v>1</v>
      </c>
      <c r="ED22" s="1">
        <v>0</v>
      </c>
      <c r="EE22" s="1">
        <v>0</v>
      </c>
      <c r="EF22" s="1">
        <v>1</v>
      </c>
      <c r="EG22" s="1">
        <v>0</v>
      </c>
      <c r="EH22" s="1">
        <v>0</v>
      </c>
      <c r="EI22" s="1">
        <v>0</v>
      </c>
      <c r="EJ22" s="1">
        <v>0</v>
      </c>
      <c r="EK22" s="1">
        <v>1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1</v>
      </c>
      <c r="ER22" s="1">
        <v>0</v>
      </c>
      <c r="ES22" s="1">
        <v>1</v>
      </c>
      <c r="ET22" s="1">
        <v>0</v>
      </c>
      <c r="EU22" s="1">
        <v>1</v>
      </c>
      <c r="EV22" s="1">
        <v>0</v>
      </c>
      <c r="EW22" s="1">
        <v>0</v>
      </c>
      <c r="EX22" s="1">
        <v>1</v>
      </c>
      <c r="EY22" s="1">
        <v>0</v>
      </c>
      <c r="EZ22" s="1">
        <v>0</v>
      </c>
      <c r="FA22" s="1">
        <v>0</v>
      </c>
      <c r="FB22" s="1">
        <v>1</v>
      </c>
      <c r="FC22" s="1">
        <v>0</v>
      </c>
      <c r="FD22" s="1">
        <v>1</v>
      </c>
      <c r="FE22" s="1">
        <v>1</v>
      </c>
      <c r="FF22" s="1">
        <v>1</v>
      </c>
      <c r="FG22" s="1">
        <v>1</v>
      </c>
      <c r="FH22" s="1">
        <v>1</v>
      </c>
      <c r="FI22" s="1">
        <v>1</v>
      </c>
      <c r="FJ22" s="1">
        <v>1</v>
      </c>
      <c r="FK22" s="1">
        <v>1</v>
      </c>
      <c r="FL22" s="1">
        <v>1</v>
      </c>
      <c r="FM22" s="1">
        <v>0</v>
      </c>
      <c r="FN22" s="1">
        <v>0</v>
      </c>
      <c r="FO22" s="1">
        <v>0</v>
      </c>
      <c r="FP22" s="1">
        <v>1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1</v>
      </c>
      <c r="FY22" s="1">
        <v>0</v>
      </c>
      <c r="FZ22" s="1">
        <v>0</v>
      </c>
      <c r="GA22" s="1">
        <v>0</v>
      </c>
      <c r="GB22" s="1">
        <v>0</v>
      </c>
      <c r="GC22" s="1">
        <v>1</v>
      </c>
      <c r="GD22" s="1">
        <v>0</v>
      </c>
      <c r="GE22" s="1">
        <v>0</v>
      </c>
      <c r="GF22" s="1">
        <v>0</v>
      </c>
      <c r="GG22" s="1">
        <v>0</v>
      </c>
      <c r="GH22" s="1">
        <v>1</v>
      </c>
      <c r="GI22" s="1">
        <v>0</v>
      </c>
      <c r="GJ22" s="1">
        <v>1</v>
      </c>
      <c r="GK22" s="1">
        <v>0</v>
      </c>
      <c r="GL22" s="1">
        <v>0</v>
      </c>
      <c r="GM22" s="1">
        <v>0</v>
      </c>
      <c r="GN22" s="1">
        <v>1</v>
      </c>
      <c r="GO22" s="1">
        <v>0</v>
      </c>
      <c r="GP22" s="1">
        <v>0</v>
      </c>
      <c r="GQ22" s="1">
        <v>1</v>
      </c>
      <c r="GR22" s="1">
        <v>0</v>
      </c>
      <c r="GS22" s="1">
        <v>1</v>
      </c>
      <c r="GT22" s="1">
        <v>1</v>
      </c>
      <c r="GU22" s="1">
        <v>1</v>
      </c>
      <c r="GV22" s="1">
        <v>1</v>
      </c>
      <c r="GW22" s="1">
        <v>1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1</v>
      </c>
      <c r="HD22" s="1">
        <v>1</v>
      </c>
      <c r="HE22" s="1">
        <v>1</v>
      </c>
      <c r="HF22" s="1">
        <v>0</v>
      </c>
    </row>
    <row r="23" spans="1:214" x14ac:dyDescent="0.2">
      <c r="A23" s="1" t="s">
        <v>292</v>
      </c>
      <c r="B23" s="1" t="s">
        <v>292</v>
      </c>
      <c r="D23" s="1" t="s">
        <v>241</v>
      </c>
      <c r="E23" s="1" t="s">
        <v>215</v>
      </c>
      <c r="F23" s="1">
        <v>0</v>
      </c>
      <c r="G23" s="1" t="s">
        <v>238</v>
      </c>
      <c r="H23" s="1" t="s">
        <v>239</v>
      </c>
      <c r="I23" s="1" t="s">
        <v>240</v>
      </c>
      <c r="J23" s="1">
        <v>76</v>
      </c>
      <c r="K23" s="1" t="s">
        <v>24</v>
      </c>
      <c r="L23" s="1" t="s">
        <v>235</v>
      </c>
      <c r="M23" s="1" t="s">
        <v>16</v>
      </c>
      <c r="N23" s="1">
        <f>IF(Regions_master[[#This Row],[Forecaster]]=Regions_master[[#Headers],[Grigor]],1,0)</f>
        <v>0</v>
      </c>
      <c r="O23" s="1">
        <f>IF(Regions_master[[#This Row],[Forecaster]]=Regions_master[[#Headers],[Ingo]],1,0)</f>
        <v>0</v>
      </c>
      <c r="P23" s="1">
        <f>IF(Regions_master[[#This Row],[Forecaster]]=Regions_master[[#Headers],[Danyira]],1,0)</f>
        <v>0</v>
      </c>
      <c r="Q23" s="1">
        <f>IF(Regions_master[[#This Row],[Forecaster]]=Regions_master[[#Headers],[Sebastian]],1,0)</f>
        <v>1</v>
      </c>
      <c r="R23" s="1">
        <f>IF(Regions_master[[#This Row],[Forecaster]]=Regions_master[[#Headers],[Yasu]],1,0)</f>
        <v>0</v>
      </c>
      <c r="S23" s="1">
        <f>IF(Regions_master[[#This Row],[Forecaster]]=Regions_master[[#Headers],[Zhenqian]],1,0)</f>
        <v>0</v>
      </c>
      <c r="T23" s="1">
        <f>IF(Regions_master[[#This Row],[Forecaster]]=Regions_master[[#Headers],[Berna]],1,0)</f>
        <v>0</v>
      </c>
      <c r="U23" s="1">
        <f>IF(Regions_master[[#This Row],[Forecaster]]=Regions_master[[#Headers],[Julian]],1,0)</f>
        <v>0</v>
      </c>
      <c r="V23" s="1">
        <f>IF(Regions_master[[#This Row],[Forecaster]]=Regions_master[[#Headers],[Katarzyna]],1,0)</f>
        <v>0</v>
      </c>
      <c r="W23" s="1">
        <v>1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1</v>
      </c>
      <c r="BP23" s="1">
        <v>1</v>
      </c>
      <c r="BQ23" s="1">
        <v>0</v>
      </c>
      <c r="BR23" s="1">
        <v>1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1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1</v>
      </c>
      <c r="CT23" s="1">
        <v>1</v>
      </c>
      <c r="CU23" s="1">
        <v>1</v>
      </c>
      <c r="CV23" s="1">
        <v>1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1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1</v>
      </c>
      <c r="DQ23" s="1">
        <v>1</v>
      </c>
      <c r="DR23" s="1">
        <v>1</v>
      </c>
      <c r="DS23" s="1">
        <v>1</v>
      </c>
      <c r="DT23" s="1">
        <v>0</v>
      </c>
      <c r="DU23" s="1">
        <v>0</v>
      </c>
      <c r="DV23" s="1">
        <v>1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1</v>
      </c>
      <c r="EE23" s="1">
        <v>0</v>
      </c>
      <c r="EF23" s="1">
        <v>0</v>
      </c>
      <c r="EG23" s="1">
        <v>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1</v>
      </c>
      <c r="EP23" s="1">
        <v>0</v>
      </c>
      <c r="EQ23" s="1">
        <v>0</v>
      </c>
      <c r="ER23" s="1">
        <v>1</v>
      </c>
      <c r="ES23" s="1">
        <v>1</v>
      </c>
      <c r="ET23" s="1">
        <v>0</v>
      </c>
      <c r="EU23" s="1">
        <v>0</v>
      </c>
      <c r="EV23" s="1">
        <v>0</v>
      </c>
      <c r="EW23" s="1">
        <v>1</v>
      </c>
      <c r="EX23" s="1">
        <v>0</v>
      </c>
      <c r="EY23" s="1">
        <v>0</v>
      </c>
      <c r="EZ23" s="1">
        <v>0</v>
      </c>
      <c r="FA23" s="1">
        <v>1</v>
      </c>
      <c r="FB23" s="1">
        <v>0</v>
      </c>
      <c r="FC23" s="1">
        <v>0</v>
      </c>
      <c r="FD23" s="1">
        <v>1</v>
      </c>
      <c r="FE23" s="1">
        <v>1</v>
      </c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1</v>
      </c>
      <c r="FW23" s="1">
        <v>1</v>
      </c>
      <c r="FX23" s="1">
        <v>0</v>
      </c>
      <c r="FY23" s="1">
        <v>0</v>
      </c>
      <c r="FZ23" s="1">
        <v>0</v>
      </c>
      <c r="GA23" s="1">
        <v>1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1</v>
      </c>
      <c r="GH23" s="1">
        <v>1</v>
      </c>
      <c r="GI23" s="1">
        <v>1</v>
      </c>
      <c r="GJ23" s="1">
        <v>0</v>
      </c>
      <c r="GK23" s="1">
        <v>0</v>
      </c>
      <c r="GL23" s="1">
        <v>0</v>
      </c>
      <c r="GM23" s="1">
        <v>0</v>
      </c>
      <c r="GN23" s="1">
        <v>1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1</v>
      </c>
      <c r="GU23" s="1">
        <v>1</v>
      </c>
      <c r="GV23" s="1">
        <v>1</v>
      </c>
      <c r="GW23" s="1">
        <v>1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1</v>
      </c>
      <c r="HD23" s="1">
        <v>1</v>
      </c>
      <c r="HE23" s="1">
        <v>1</v>
      </c>
      <c r="HF23" s="1">
        <v>0</v>
      </c>
    </row>
    <row r="24" spans="1:214" x14ac:dyDescent="0.2">
      <c r="A24" s="1" t="s">
        <v>293</v>
      </c>
      <c r="B24" s="1" t="s">
        <v>294</v>
      </c>
      <c r="D24" s="1" t="s">
        <v>295</v>
      </c>
      <c r="E24" s="1" t="s">
        <v>215</v>
      </c>
      <c r="F24" s="1">
        <v>0</v>
      </c>
      <c r="G24" s="1" t="s">
        <v>216</v>
      </c>
      <c r="H24" s="1" t="s">
        <v>296</v>
      </c>
      <c r="I24" s="1" t="s">
        <v>297</v>
      </c>
      <c r="J24" s="1">
        <v>96</v>
      </c>
      <c r="K24" s="1" t="s">
        <v>24</v>
      </c>
      <c r="L24" s="1" t="s">
        <v>298</v>
      </c>
      <c r="M24" s="1" t="s">
        <v>299</v>
      </c>
      <c r="N24" s="1">
        <f>IF(Regions_master[[#This Row],[Forecaster]]=Regions_master[[#Headers],[Grigor]],1,0)</f>
        <v>0</v>
      </c>
      <c r="O24" s="1">
        <f>IF(Regions_master[[#This Row],[Forecaster]]=Regions_master[[#Headers],[Ingo]],1,0)</f>
        <v>0</v>
      </c>
      <c r="P24" s="1">
        <f>IF(Regions_master[[#This Row],[Forecaster]]=Regions_master[[#Headers],[Danyira]],1,0)</f>
        <v>0</v>
      </c>
      <c r="Q24" s="1">
        <f>IF(Regions_master[[#This Row],[Forecaster]]=Regions_master[[#Headers],[Sebastian]],1,0)</f>
        <v>0</v>
      </c>
      <c r="R24" s="1">
        <f>IF(Regions_master[[#This Row],[Forecaster]]=Regions_master[[#Headers],[Yasu]],1,0)</f>
        <v>0</v>
      </c>
      <c r="S24" s="1">
        <f>IF(Regions_master[[#This Row],[Forecaster]]=Regions_master[[#Headers],[Zhenqian]],1,0)</f>
        <v>1</v>
      </c>
      <c r="T24" s="1">
        <f>IF(Regions_master[[#This Row],[Forecaster]]=Regions_master[[#Headers],[Berna]],1,0)</f>
        <v>0</v>
      </c>
      <c r="U24" s="1">
        <f>IF(Regions_master[[#This Row],[Forecaster]]=Regions_master[[#Headers],[Julian]],1,0)</f>
        <v>0</v>
      </c>
      <c r="V24" s="1">
        <f>IF(Regions_master[[#This Row],[Forecaster]]=Regions_master[[#Headers],[Katarzyna]],1,0)</f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1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1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1</v>
      </c>
      <c r="DD24" s="1">
        <v>1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1</v>
      </c>
      <c r="DM24" s="1">
        <v>0</v>
      </c>
      <c r="DN24" s="1">
        <v>0</v>
      </c>
      <c r="DO24" s="1">
        <v>0</v>
      </c>
      <c r="DP24" s="1">
        <v>1</v>
      </c>
      <c r="DQ24" s="1">
        <v>1</v>
      </c>
      <c r="DR24" s="1">
        <v>0</v>
      </c>
      <c r="DS24" s="1">
        <v>0</v>
      </c>
      <c r="DT24" s="1">
        <v>0</v>
      </c>
      <c r="DU24" s="1">
        <v>1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1</v>
      </c>
      <c r="ED24" s="1">
        <v>0</v>
      </c>
      <c r="EE24" s="1">
        <v>0</v>
      </c>
      <c r="EF24" s="1">
        <v>0</v>
      </c>
      <c r="EG24" s="1">
        <v>0</v>
      </c>
      <c r="EH24" s="1">
        <v>1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1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1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1</v>
      </c>
      <c r="FE24" s="1">
        <v>1</v>
      </c>
      <c r="FF24" s="1">
        <v>1</v>
      </c>
      <c r="FG24" s="1">
        <v>1</v>
      </c>
      <c r="FH24" s="1">
        <v>1</v>
      </c>
      <c r="FI24" s="1">
        <v>1</v>
      </c>
      <c r="FJ24" s="1">
        <v>1</v>
      </c>
      <c r="FK24" s="1">
        <v>1</v>
      </c>
      <c r="FL24" s="1">
        <v>1</v>
      </c>
      <c r="FM24" s="1">
        <v>0</v>
      </c>
      <c r="FN24" s="1">
        <v>0</v>
      </c>
      <c r="FO24" s="1">
        <v>0</v>
      </c>
      <c r="FP24" s="1">
        <v>0</v>
      </c>
      <c r="FQ24" s="1">
        <v>1</v>
      </c>
      <c r="FR24" s="1">
        <v>0</v>
      </c>
      <c r="FS24" s="1">
        <v>1</v>
      </c>
      <c r="FT24" s="1">
        <v>1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1</v>
      </c>
      <c r="GE24" s="1">
        <v>0</v>
      </c>
      <c r="GF24" s="1">
        <v>0</v>
      </c>
      <c r="GG24" s="1">
        <v>0</v>
      </c>
      <c r="GH24" s="1">
        <v>1</v>
      </c>
      <c r="GI24" s="1">
        <v>0</v>
      </c>
      <c r="GJ24" s="1">
        <v>0</v>
      </c>
      <c r="GK24" s="1">
        <v>1</v>
      </c>
      <c r="GL24" s="1">
        <v>0</v>
      </c>
      <c r="GM24" s="1">
        <v>0</v>
      </c>
      <c r="GN24" s="1">
        <v>1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</row>
    <row r="25" spans="1:214" x14ac:dyDescent="0.2">
      <c r="A25" s="1" t="s">
        <v>300</v>
      </c>
      <c r="B25" s="1" t="s">
        <v>300</v>
      </c>
      <c r="D25" s="1" t="s">
        <v>301</v>
      </c>
      <c r="E25" s="1" t="s">
        <v>215</v>
      </c>
      <c r="F25" s="1">
        <v>0</v>
      </c>
      <c r="G25" s="1" t="s">
        <v>251</v>
      </c>
      <c r="H25" s="1" t="s">
        <v>252</v>
      </c>
      <c r="I25" s="1" t="s">
        <v>253</v>
      </c>
      <c r="J25" s="1">
        <v>100</v>
      </c>
      <c r="K25" s="1" t="s">
        <v>22</v>
      </c>
      <c r="L25" s="1" t="s">
        <v>254</v>
      </c>
      <c r="M25" s="1" t="s">
        <v>13</v>
      </c>
      <c r="N25" s="1">
        <f>IF(Regions_master[[#This Row],[Forecaster]]=Regions_master[[#Headers],[Grigor]],1,0)</f>
        <v>1</v>
      </c>
      <c r="O25" s="1">
        <f>IF(Regions_master[[#This Row],[Forecaster]]=Regions_master[[#Headers],[Ingo]],1,0)</f>
        <v>0</v>
      </c>
      <c r="P25" s="1">
        <f>IF(Regions_master[[#This Row],[Forecaster]]=Regions_master[[#Headers],[Danyira]],1,0)</f>
        <v>0</v>
      </c>
      <c r="Q25" s="1">
        <f>IF(Regions_master[[#This Row],[Forecaster]]=Regions_master[[#Headers],[Sebastian]],1,0)</f>
        <v>0</v>
      </c>
      <c r="R25" s="1">
        <f>IF(Regions_master[[#This Row],[Forecaster]]=Regions_master[[#Headers],[Yasu]],1,0)</f>
        <v>0</v>
      </c>
      <c r="S25" s="1">
        <f>IF(Regions_master[[#This Row],[Forecaster]]=Regions_master[[#Headers],[Zhenqian]],1,0)</f>
        <v>0</v>
      </c>
      <c r="T25" s="1">
        <f>IF(Regions_master[[#This Row],[Forecaster]]=Regions_master[[#Headers],[Berna]],1,0)</f>
        <v>0</v>
      </c>
      <c r="U25" s="1">
        <f>IF(Regions_master[[#This Row],[Forecaster]]=Regions_master[[#Headers],[Julian]],1,0)</f>
        <v>0</v>
      </c>
      <c r="V25" s="1">
        <f>IF(Regions_master[[#This Row],[Forecaster]]=Regions_master[[#Headers],[Katarzyna]],1,0)</f>
        <v>0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1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1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1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1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1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1</v>
      </c>
      <c r="EE25" s="1">
        <v>0</v>
      </c>
      <c r="EF25" s="1">
        <v>1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1</v>
      </c>
      <c r="FB25" s="1">
        <v>1</v>
      </c>
      <c r="FC25" s="1">
        <v>0</v>
      </c>
      <c r="FD25" s="1">
        <v>1</v>
      </c>
      <c r="FE25" s="1">
        <v>1</v>
      </c>
      <c r="FF25" s="1">
        <v>1</v>
      </c>
      <c r="FG25" s="1">
        <v>1</v>
      </c>
      <c r="FH25" s="1">
        <v>1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1</v>
      </c>
      <c r="FO25" s="1">
        <v>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1</v>
      </c>
      <c r="GH25" s="1">
        <v>0</v>
      </c>
      <c r="GI25" s="1">
        <v>0</v>
      </c>
      <c r="GJ25" s="1">
        <v>1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</row>
    <row r="26" spans="1:214" x14ac:dyDescent="0.2">
      <c r="A26" s="1" t="s">
        <v>302</v>
      </c>
      <c r="B26" s="1" t="s">
        <v>303</v>
      </c>
      <c r="D26" s="1" t="s">
        <v>304</v>
      </c>
      <c r="E26" s="1" t="s">
        <v>215</v>
      </c>
      <c r="F26" s="1">
        <v>0</v>
      </c>
      <c r="G26" s="1" t="s">
        <v>227</v>
      </c>
      <c r="H26" s="1" t="s">
        <v>280</v>
      </c>
      <c r="I26" s="1" t="s">
        <v>281</v>
      </c>
      <c r="J26" s="1">
        <v>854</v>
      </c>
      <c r="K26" s="1" t="s">
        <v>24</v>
      </c>
      <c r="L26" s="1" t="s">
        <v>305</v>
      </c>
      <c r="M26" s="1" t="s">
        <v>19</v>
      </c>
      <c r="N26" s="1">
        <f>IF(Regions_master[[#This Row],[Forecaster]]=Regions_master[[#Headers],[Grigor]],1,0)</f>
        <v>0</v>
      </c>
      <c r="O26" s="1">
        <f>IF(Regions_master[[#This Row],[Forecaster]]=Regions_master[[#Headers],[Ingo]],1,0)</f>
        <v>0</v>
      </c>
      <c r="P26" s="1">
        <f>IF(Regions_master[[#This Row],[Forecaster]]=Regions_master[[#Headers],[Danyira]],1,0)</f>
        <v>0</v>
      </c>
      <c r="Q26" s="1">
        <f>IF(Regions_master[[#This Row],[Forecaster]]=Regions_master[[#Headers],[Sebastian]],1,0)</f>
        <v>0</v>
      </c>
      <c r="R26" s="1">
        <f>IF(Regions_master[[#This Row],[Forecaster]]=Regions_master[[#Headers],[Yasu]],1,0)</f>
        <v>0</v>
      </c>
      <c r="S26" s="1">
        <f>IF(Regions_master[[#This Row],[Forecaster]]=Regions_master[[#Headers],[Zhenqian]],1,0)</f>
        <v>0</v>
      </c>
      <c r="T26" s="1">
        <f>IF(Regions_master[[#This Row],[Forecaster]]=Regions_master[[#Headers],[Berna]],1,0)</f>
        <v>0</v>
      </c>
      <c r="U26" s="1">
        <f>IF(Regions_master[[#This Row],[Forecaster]]=Regions_master[[#Headers],[Julian]],1,0)</f>
        <v>1</v>
      </c>
      <c r="V26" s="1">
        <f>IF(Regions_master[[#This Row],[Forecaster]]=Regions_master[[#Headers],[Katarzyna]],1,0)</f>
        <v>0</v>
      </c>
      <c r="W26" s="1">
        <v>1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</v>
      </c>
      <c r="BH26" s="1">
        <v>1</v>
      </c>
      <c r="BI26" s="1">
        <v>1</v>
      </c>
      <c r="BJ26" s="1">
        <v>1</v>
      </c>
      <c r="BK26" s="1">
        <v>0</v>
      </c>
      <c r="BL26" s="1">
        <v>0</v>
      </c>
      <c r="BM26" s="1">
        <v>1</v>
      </c>
      <c r="BN26" s="1">
        <v>0</v>
      </c>
      <c r="BO26" s="1">
        <v>0</v>
      </c>
      <c r="BP26" s="1">
        <v>0</v>
      </c>
      <c r="BQ26" s="1">
        <v>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1</v>
      </c>
      <c r="CQ26" s="1">
        <v>0</v>
      </c>
      <c r="CR26" s="1">
        <v>0</v>
      </c>
      <c r="CS26" s="1">
        <v>0</v>
      </c>
      <c r="CT26" s="1">
        <v>0</v>
      </c>
      <c r="CU26" s="1">
        <v>1</v>
      </c>
      <c r="CV26" s="1">
        <v>1</v>
      </c>
      <c r="CW26" s="1">
        <v>1</v>
      </c>
      <c r="CX26" s="1">
        <v>0</v>
      </c>
      <c r="CY26" s="1">
        <v>0</v>
      </c>
      <c r="CZ26" s="1">
        <v>0</v>
      </c>
      <c r="DA26" s="1">
        <v>0</v>
      </c>
      <c r="DB26" s="1">
        <v>1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1</v>
      </c>
      <c r="DQ26" s="1">
        <v>1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1</v>
      </c>
      <c r="DZ26" s="1">
        <v>0</v>
      </c>
      <c r="EA26" s="1">
        <v>0</v>
      </c>
      <c r="EB26" s="1">
        <v>0</v>
      </c>
      <c r="EC26" s="1">
        <v>0</v>
      </c>
      <c r="ED26" s="1">
        <v>1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1</v>
      </c>
      <c r="EK26" s="1">
        <v>1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1</v>
      </c>
      <c r="ER26" s="1">
        <v>0</v>
      </c>
      <c r="ES26" s="1">
        <v>0</v>
      </c>
      <c r="ET26" s="1">
        <v>0</v>
      </c>
      <c r="EU26" s="1">
        <v>1</v>
      </c>
      <c r="EV26" s="1">
        <v>0</v>
      </c>
      <c r="EW26" s="1">
        <v>0</v>
      </c>
      <c r="EX26" s="1">
        <v>1</v>
      </c>
      <c r="EY26" s="1">
        <v>0</v>
      </c>
      <c r="EZ26" s="1">
        <v>0</v>
      </c>
      <c r="FA26" s="1">
        <v>1</v>
      </c>
      <c r="FB26" s="1">
        <v>0</v>
      </c>
      <c r="FC26" s="1">
        <v>0</v>
      </c>
      <c r="FD26" s="1">
        <v>1</v>
      </c>
      <c r="FE26" s="1">
        <v>1</v>
      </c>
      <c r="FF26" s="1">
        <v>1</v>
      </c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 s="1">
        <v>0</v>
      </c>
      <c r="FN26" s="1">
        <v>0</v>
      </c>
      <c r="FO26" s="1">
        <v>0</v>
      </c>
      <c r="FP26" s="1">
        <v>1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1</v>
      </c>
      <c r="FY26" s="1">
        <v>0</v>
      </c>
      <c r="FZ26" s="1">
        <v>0</v>
      </c>
      <c r="GA26" s="1">
        <v>0</v>
      </c>
      <c r="GB26" s="1">
        <v>0</v>
      </c>
      <c r="GC26" s="1">
        <v>1</v>
      </c>
      <c r="GD26" s="1">
        <v>0</v>
      </c>
      <c r="GE26" s="1">
        <v>0</v>
      </c>
      <c r="GF26" s="1">
        <v>0</v>
      </c>
      <c r="GG26" s="1">
        <v>1</v>
      </c>
      <c r="GH26" s="1">
        <v>1</v>
      </c>
      <c r="GI26" s="1">
        <v>0</v>
      </c>
      <c r="GJ26" s="1">
        <v>0</v>
      </c>
      <c r="GK26" s="1">
        <v>0</v>
      </c>
      <c r="GL26" s="1">
        <v>0</v>
      </c>
      <c r="GM26" s="1">
        <v>1</v>
      </c>
      <c r="GN26" s="1">
        <v>1</v>
      </c>
      <c r="GO26" s="1">
        <v>1</v>
      </c>
      <c r="GP26" s="1">
        <v>0</v>
      </c>
      <c r="GQ26" s="1">
        <v>1</v>
      </c>
      <c r="GR26" s="1">
        <v>0</v>
      </c>
      <c r="GS26" s="1">
        <v>1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</row>
    <row r="27" spans="1:214" x14ac:dyDescent="0.2">
      <c r="A27" s="1" t="s">
        <v>306</v>
      </c>
      <c r="B27" s="1" t="s">
        <v>306</v>
      </c>
      <c r="D27" s="1" t="s">
        <v>307</v>
      </c>
      <c r="E27" s="1" t="s">
        <v>215</v>
      </c>
      <c r="F27" s="1">
        <v>0</v>
      </c>
      <c r="G27" s="1" t="s">
        <v>227</v>
      </c>
      <c r="H27" s="1" t="s">
        <v>308</v>
      </c>
      <c r="I27" s="1" t="s">
        <v>309</v>
      </c>
      <c r="J27" s="1">
        <v>108</v>
      </c>
      <c r="K27" s="1" t="s">
        <v>24</v>
      </c>
      <c r="L27" s="1" t="s">
        <v>310</v>
      </c>
      <c r="M27" s="1" t="s">
        <v>19</v>
      </c>
      <c r="N27" s="1">
        <f>IF(Regions_master[[#This Row],[Forecaster]]=Regions_master[[#Headers],[Grigor]],1,0)</f>
        <v>0</v>
      </c>
      <c r="O27" s="1">
        <f>IF(Regions_master[[#This Row],[Forecaster]]=Regions_master[[#Headers],[Ingo]],1,0)</f>
        <v>0</v>
      </c>
      <c r="P27" s="1">
        <f>IF(Regions_master[[#This Row],[Forecaster]]=Regions_master[[#Headers],[Danyira]],1,0)</f>
        <v>0</v>
      </c>
      <c r="Q27" s="1">
        <f>IF(Regions_master[[#This Row],[Forecaster]]=Regions_master[[#Headers],[Sebastian]],1,0)</f>
        <v>0</v>
      </c>
      <c r="R27" s="1">
        <f>IF(Regions_master[[#This Row],[Forecaster]]=Regions_master[[#Headers],[Yasu]],1,0)</f>
        <v>0</v>
      </c>
      <c r="S27" s="1">
        <f>IF(Regions_master[[#This Row],[Forecaster]]=Regions_master[[#Headers],[Zhenqian]],1,0)</f>
        <v>0</v>
      </c>
      <c r="T27" s="1">
        <f>IF(Regions_master[[#This Row],[Forecaster]]=Regions_master[[#Headers],[Berna]],1,0)</f>
        <v>0</v>
      </c>
      <c r="U27" s="1">
        <f>IF(Regions_master[[#This Row],[Forecaster]]=Regions_master[[#Headers],[Julian]],1,0)</f>
        <v>1</v>
      </c>
      <c r="V27" s="1">
        <f>IF(Regions_master[[#This Row],[Forecaster]]=Regions_master[[#Headers],[Katarzyna]],1,0)</f>
        <v>0</v>
      </c>
      <c r="W27" s="1">
        <v>1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</v>
      </c>
      <c r="AO27" s="1">
        <v>0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</v>
      </c>
      <c r="BH27" s="1">
        <v>1</v>
      </c>
      <c r="BI27" s="1">
        <v>1</v>
      </c>
      <c r="BJ27" s="1">
        <v>1</v>
      </c>
      <c r="BK27" s="1">
        <v>0</v>
      </c>
      <c r="BL27" s="1">
        <v>0</v>
      </c>
      <c r="BM27" s="1">
        <v>1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1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1</v>
      </c>
      <c r="CV27" s="1">
        <v>1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1</v>
      </c>
      <c r="DQ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1</v>
      </c>
      <c r="EA27" s="1">
        <v>1</v>
      </c>
      <c r="EB27" s="1">
        <v>0</v>
      </c>
      <c r="EC27" s="1">
        <v>1</v>
      </c>
      <c r="ED27" s="1">
        <v>0</v>
      </c>
      <c r="EE27" s="1">
        <v>0</v>
      </c>
      <c r="EF27" s="1">
        <v>0</v>
      </c>
      <c r="EG27" s="1">
        <v>1</v>
      </c>
      <c r="EH27" s="1">
        <v>0</v>
      </c>
      <c r="EI27" s="1">
        <v>0</v>
      </c>
      <c r="EJ27" s="1">
        <v>1</v>
      </c>
      <c r="EK27" s="1">
        <v>1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1</v>
      </c>
      <c r="ER27" s="1">
        <v>0</v>
      </c>
      <c r="ES27" s="1">
        <v>0</v>
      </c>
      <c r="ET27" s="1">
        <v>0</v>
      </c>
      <c r="EU27" s="1">
        <v>1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1</v>
      </c>
      <c r="FE27" s="1">
        <v>1</v>
      </c>
      <c r="FF27" s="1">
        <v>1</v>
      </c>
      <c r="FG27" s="1">
        <v>1</v>
      </c>
      <c r="FH27" s="1">
        <v>1</v>
      </c>
      <c r="FI27" s="1">
        <v>1</v>
      </c>
      <c r="FJ27" s="1">
        <v>1</v>
      </c>
      <c r="FK27" s="1">
        <v>1</v>
      </c>
      <c r="FL27" s="1">
        <v>1</v>
      </c>
      <c r="FM27" s="1">
        <v>0</v>
      </c>
      <c r="FN27" s="1">
        <v>0</v>
      </c>
      <c r="FO27" s="1">
        <v>0</v>
      </c>
      <c r="FP27" s="1">
        <v>1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1</v>
      </c>
      <c r="FY27" s="1">
        <v>0</v>
      </c>
      <c r="FZ27" s="1">
        <v>0</v>
      </c>
      <c r="GA27" s="1">
        <v>0</v>
      </c>
      <c r="GB27" s="1">
        <v>0</v>
      </c>
      <c r="GC27" s="1">
        <v>1</v>
      </c>
      <c r="GD27" s="1">
        <v>0</v>
      </c>
      <c r="GE27" s="1">
        <v>0</v>
      </c>
      <c r="GF27" s="1">
        <v>0</v>
      </c>
      <c r="GG27" s="1">
        <v>0</v>
      </c>
      <c r="GH27" s="1">
        <v>1</v>
      </c>
      <c r="GI27" s="1">
        <v>1</v>
      </c>
      <c r="GJ27" s="1">
        <v>0</v>
      </c>
      <c r="GK27" s="1">
        <v>0</v>
      </c>
      <c r="GL27" s="1">
        <v>0</v>
      </c>
      <c r="GM27" s="1">
        <v>1</v>
      </c>
      <c r="GN27" s="1">
        <v>1</v>
      </c>
      <c r="GO27" s="1">
        <v>1</v>
      </c>
      <c r="GP27" s="1">
        <v>0</v>
      </c>
      <c r="GQ27" s="1">
        <v>1</v>
      </c>
      <c r="GR27" s="1">
        <v>0</v>
      </c>
      <c r="GS27" s="1">
        <v>1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</row>
    <row r="28" spans="1:214" x14ac:dyDescent="0.2">
      <c r="A28" s="1" t="s">
        <v>311</v>
      </c>
      <c r="B28" s="1" t="s">
        <v>312</v>
      </c>
      <c r="D28" s="1" t="s">
        <v>313</v>
      </c>
      <c r="E28" s="1" t="s">
        <v>215</v>
      </c>
      <c r="F28" s="1">
        <v>0</v>
      </c>
      <c r="G28" s="1" t="s">
        <v>227</v>
      </c>
      <c r="H28" s="1" t="s">
        <v>280</v>
      </c>
      <c r="I28" s="1" t="s">
        <v>281</v>
      </c>
      <c r="J28" s="1">
        <v>132</v>
      </c>
      <c r="K28" s="1" t="s">
        <v>24</v>
      </c>
      <c r="L28" s="1" t="s">
        <v>247</v>
      </c>
      <c r="M28" s="1" t="s">
        <v>19</v>
      </c>
      <c r="N28" s="1">
        <f>IF(Regions_master[[#This Row],[Forecaster]]=Regions_master[[#Headers],[Grigor]],1,0)</f>
        <v>0</v>
      </c>
      <c r="O28" s="1">
        <f>IF(Regions_master[[#This Row],[Forecaster]]=Regions_master[[#Headers],[Ingo]],1,0)</f>
        <v>0</v>
      </c>
      <c r="P28" s="1">
        <f>IF(Regions_master[[#This Row],[Forecaster]]=Regions_master[[#Headers],[Danyira]],1,0)</f>
        <v>0</v>
      </c>
      <c r="Q28" s="1">
        <f>IF(Regions_master[[#This Row],[Forecaster]]=Regions_master[[#Headers],[Sebastian]],1,0)</f>
        <v>0</v>
      </c>
      <c r="R28" s="1">
        <f>IF(Regions_master[[#This Row],[Forecaster]]=Regions_master[[#Headers],[Yasu]],1,0)</f>
        <v>0</v>
      </c>
      <c r="S28" s="1">
        <f>IF(Regions_master[[#This Row],[Forecaster]]=Regions_master[[#Headers],[Zhenqian]],1,0)</f>
        <v>0</v>
      </c>
      <c r="T28" s="1">
        <f>IF(Regions_master[[#This Row],[Forecaster]]=Regions_master[[#Headers],[Berna]],1,0)</f>
        <v>0</v>
      </c>
      <c r="U28" s="1">
        <f>IF(Regions_master[[#This Row],[Forecaster]]=Regions_master[[#Headers],[Julian]],1,0)</f>
        <v>1</v>
      </c>
      <c r="V28" s="1">
        <f>IF(Regions_master[[#This Row],[Forecaster]]=Regions_master[[#Headers],[Katarzyna]],1,0)</f>
        <v>0</v>
      </c>
      <c r="W28" s="1">
        <v>1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</v>
      </c>
      <c r="BM28" s="1">
        <v>0</v>
      </c>
      <c r="BN28" s="1">
        <v>0</v>
      </c>
      <c r="BO28" s="1">
        <v>0</v>
      </c>
      <c r="BP28" s="1">
        <v>0</v>
      </c>
      <c r="BQ28" s="1">
        <v>1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1</v>
      </c>
      <c r="CQ28" s="1">
        <v>0</v>
      </c>
      <c r="CR28" s="1">
        <v>0</v>
      </c>
      <c r="CS28" s="1">
        <v>0</v>
      </c>
      <c r="CT28" s="1">
        <v>0</v>
      </c>
      <c r="CU28" s="1">
        <v>1</v>
      </c>
      <c r="CV28" s="1">
        <v>1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1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1</v>
      </c>
      <c r="DQ28" s="1">
        <v>1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1</v>
      </c>
      <c r="DZ28" s="1">
        <v>0</v>
      </c>
      <c r="EA28" s="1">
        <v>0</v>
      </c>
      <c r="EB28" s="1">
        <v>0</v>
      </c>
      <c r="EC28" s="1">
        <v>0</v>
      </c>
      <c r="ED28" s="1">
        <v>1</v>
      </c>
      <c r="EE28" s="1">
        <v>1</v>
      </c>
      <c r="EF28" s="1">
        <v>0</v>
      </c>
      <c r="EG28" s="1">
        <v>1</v>
      </c>
      <c r="EH28" s="1">
        <v>0</v>
      </c>
      <c r="EI28" s="1">
        <v>1</v>
      </c>
      <c r="EJ28" s="1">
        <v>0</v>
      </c>
      <c r="EK28" s="1">
        <v>1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1</v>
      </c>
      <c r="ER28" s="1">
        <v>0</v>
      </c>
      <c r="ES28" s="1">
        <v>1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1</v>
      </c>
      <c r="FB28" s="1">
        <v>0</v>
      </c>
      <c r="FC28" s="1">
        <v>0</v>
      </c>
      <c r="FD28" s="1">
        <v>1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0</v>
      </c>
      <c r="FN28" s="1">
        <v>0</v>
      </c>
      <c r="FO28" s="1">
        <v>0</v>
      </c>
      <c r="FP28" s="1">
        <v>1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1</v>
      </c>
      <c r="FY28" s="1">
        <v>0</v>
      </c>
      <c r="FZ28" s="1">
        <v>0</v>
      </c>
      <c r="GA28" s="1">
        <v>0</v>
      </c>
      <c r="GB28" s="1">
        <v>0</v>
      </c>
      <c r="GC28" s="1">
        <v>1</v>
      </c>
      <c r="GD28" s="1">
        <v>0</v>
      </c>
      <c r="GE28" s="1">
        <v>0</v>
      </c>
      <c r="GF28" s="1">
        <v>0</v>
      </c>
      <c r="GG28" s="1">
        <v>1</v>
      </c>
      <c r="GH28" s="1">
        <v>1</v>
      </c>
      <c r="GI28" s="1">
        <v>1</v>
      </c>
      <c r="GJ28" s="1">
        <v>0</v>
      </c>
      <c r="GK28" s="1">
        <v>0</v>
      </c>
      <c r="GL28" s="1">
        <v>0</v>
      </c>
      <c r="GM28" s="1">
        <v>0</v>
      </c>
      <c r="GN28" s="1">
        <v>1</v>
      </c>
      <c r="GO28" s="1">
        <v>0</v>
      </c>
      <c r="GP28" s="1">
        <v>0</v>
      </c>
      <c r="GQ28" s="1">
        <v>1</v>
      </c>
      <c r="GR28" s="1">
        <v>0</v>
      </c>
      <c r="GS28" s="1">
        <v>0</v>
      </c>
      <c r="GT28" s="1">
        <v>1</v>
      </c>
      <c r="GU28" s="1">
        <v>1</v>
      </c>
      <c r="GV28" s="1">
        <v>1</v>
      </c>
      <c r="GW28" s="1">
        <v>1</v>
      </c>
      <c r="GX28" s="1">
        <v>0</v>
      </c>
      <c r="GY28" s="1">
        <v>1</v>
      </c>
      <c r="GZ28" s="1">
        <v>1</v>
      </c>
      <c r="HA28" s="1">
        <v>0</v>
      </c>
      <c r="HB28" s="1">
        <v>0</v>
      </c>
      <c r="HC28" s="1">
        <v>1</v>
      </c>
      <c r="HD28" s="1">
        <v>1</v>
      </c>
      <c r="HE28" s="1">
        <v>1</v>
      </c>
      <c r="HF28" s="1">
        <v>0</v>
      </c>
    </row>
    <row r="29" spans="1:214" x14ac:dyDescent="0.2">
      <c r="A29" s="1" t="s">
        <v>314</v>
      </c>
      <c r="B29" s="1" t="s">
        <v>314</v>
      </c>
      <c r="D29" s="1" t="s">
        <v>315</v>
      </c>
      <c r="E29" s="1" t="s">
        <v>215</v>
      </c>
      <c r="F29" s="1">
        <v>0</v>
      </c>
      <c r="G29" s="1" t="s">
        <v>216</v>
      </c>
      <c r="H29" s="1" t="s">
        <v>296</v>
      </c>
      <c r="I29" s="1" t="s">
        <v>297</v>
      </c>
      <c r="J29" s="1">
        <v>116</v>
      </c>
      <c r="K29" s="1" t="s">
        <v>24</v>
      </c>
      <c r="L29" s="1" t="s">
        <v>261</v>
      </c>
      <c r="M29" s="1" t="s">
        <v>299</v>
      </c>
      <c r="N29" s="1">
        <f>IF(Regions_master[[#This Row],[Forecaster]]=Regions_master[[#Headers],[Grigor]],1,0)</f>
        <v>0</v>
      </c>
      <c r="O29" s="1">
        <f>IF(Regions_master[[#This Row],[Forecaster]]=Regions_master[[#Headers],[Ingo]],1,0)</f>
        <v>0</v>
      </c>
      <c r="P29" s="1">
        <f>IF(Regions_master[[#This Row],[Forecaster]]=Regions_master[[#Headers],[Danyira]],1,0)</f>
        <v>0</v>
      </c>
      <c r="Q29" s="1">
        <f>IF(Regions_master[[#This Row],[Forecaster]]=Regions_master[[#Headers],[Sebastian]],1,0)</f>
        <v>0</v>
      </c>
      <c r="R29" s="1">
        <f>IF(Regions_master[[#This Row],[Forecaster]]=Regions_master[[#Headers],[Yasu]],1,0)</f>
        <v>0</v>
      </c>
      <c r="S29" s="1">
        <f>IF(Regions_master[[#This Row],[Forecaster]]=Regions_master[[#Headers],[Zhenqian]],1,0)</f>
        <v>1</v>
      </c>
      <c r="T29" s="1">
        <f>IF(Regions_master[[#This Row],[Forecaster]]=Regions_master[[#Headers],[Berna]],1,0)</f>
        <v>0</v>
      </c>
      <c r="U29" s="1">
        <f>IF(Regions_master[[#This Row],[Forecaster]]=Regions_master[[#Headers],[Julian]],1,0)</f>
        <v>0</v>
      </c>
      <c r="V29" s="1">
        <f>IF(Regions_master[[#This Row],[Forecaster]]=Regions_master[[#Headers],[Katarzyna]],1,0)</f>
        <v>0</v>
      </c>
      <c r="W29" s="1">
        <v>1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1</v>
      </c>
      <c r="DD29" s="1">
        <v>0</v>
      </c>
      <c r="DE29" s="1">
        <v>1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1</v>
      </c>
      <c r="DM29" s="1">
        <v>0</v>
      </c>
      <c r="DN29" s="1">
        <v>0</v>
      </c>
      <c r="DO29" s="1">
        <v>0</v>
      </c>
      <c r="DP29" s="1">
        <v>1</v>
      </c>
      <c r="DQ29" s="1">
        <v>1</v>
      </c>
      <c r="DR29" s="1">
        <v>0</v>
      </c>
      <c r="DS29" s="1">
        <v>0</v>
      </c>
      <c r="DT29" s="1">
        <v>0</v>
      </c>
      <c r="DU29" s="1">
        <v>1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1</v>
      </c>
      <c r="ED29" s="1">
        <v>0</v>
      </c>
      <c r="EE29" s="1">
        <v>1</v>
      </c>
      <c r="EF29" s="1">
        <v>1</v>
      </c>
      <c r="EG29" s="1">
        <v>0</v>
      </c>
      <c r="EH29" s="1">
        <v>0</v>
      </c>
      <c r="EI29" s="1">
        <v>0</v>
      </c>
      <c r="EJ29" s="1">
        <v>1</v>
      </c>
      <c r="EK29" s="1">
        <v>0</v>
      </c>
      <c r="EL29" s="1">
        <v>0</v>
      </c>
      <c r="EM29" s="1">
        <v>0</v>
      </c>
      <c r="EN29" s="1">
        <v>1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1</v>
      </c>
      <c r="FC29" s="1">
        <v>0</v>
      </c>
      <c r="FD29" s="1">
        <v>1</v>
      </c>
      <c r="FE29" s="1">
        <v>1</v>
      </c>
      <c r="FF29" s="1">
        <v>1</v>
      </c>
      <c r="FG29" s="1">
        <v>1</v>
      </c>
      <c r="FH29" s="1">
        <v>1</v>
      </c>
      <c r="FI29" s="1">
        <v>1</v>
      </c>
      <c r="FJ29" s="1">
        <v>1</v>
      </c>
      <c r="FK29" s="1">
        <v>1</v>
      </c>
      <c r="FL29" s="1">
        <v>1</v>
      </c>
      <c r="FM29" s="1">
        <v>0</v>
      </c>
      <c r="FN29" s="1">
        <v>0</v>
      </c>
      <c r="FO29" s="1">
        <v>0</v>
      </c>
      <c r="FP29" s="1">
        <v>0</v>
      </c>
      <c r="FQ29" s="1">
        <v>1</v>
      </c>
      <c r="FR29" s="1">
        <v>0</v>
      </c>
      <c r="FS29" s="1">
        <v>1</v>
      </c>
      <c r="FT29" s="1">
        <v>1</v>
      </c>
      <c r="FU29" s="1">
        <v>0</v>
      </c>
      <c r="FV29" s="1">
        <v>0</v>
      </c>
      <c r="FW29" s="1">
        <v>0</v>
      </c>
      <c r="FX29" s="1">
        <v>0</v>
      </c>
      <c r="FY29" s="1">
        <v>1</v>
      </c>
      <c r="FZ29" s="1">
        <v>0</v>
      </c>
      <c r="GA29" s="1">
        <v>0</v>
      </c>
      <c r="GB29" s="1">
        <v>0</v>
      </c>
      <c r="GC29" s="1">
        <v>0</v>
      </c>
      <c r="GD29" s="1">
        <v>1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1</v>
      </c>
      <c r="GK29" s="1">
        <v>0</v>
      </c>
      <c r="GL29" s="1">
        <v>1</v>
      </c>
      <c r="GM29" s="1">
        <v>0</v>
      </c>
      <c r="GN29" s="1">
        <v>1</v>
      </c>
      <c r="GO29" s="1">
        <v>1</v>
      </c>
      <c r="GP29" s="1">
        <v>0</v>
      </c>
      <c r="GQ29" s="1">
        <v>0</v>
      </c>
      <c r="GR29" s="1">
        <v>0</v>
      </c>
      <c r="GS29" s="1">
        <v>0</v>
      </c>
      <c r="GT29" s="1">
        <v>1</v>
      </c>
      <c r="GU29" s="1">
        <v>1</v>
      </c>
      <c r="GV29" s="1">
        <v>1</v>
      </c>
      <c r="GW29" s="1">
        <v>1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1</v>
      </c>
      <c r="HD29" s="1">
        <v>1</v>
      </c>
      <c r="HE29" s="1">
        <v>0</v>
      </c>
      <c r="HF29" s="1">
        <v>0</v>
      </c>
    </row>
    <row r="30" spans="1:214" x14ac:dyDescent="0.2">
      <c r="A30" s="1" t="s">
        <v>316</v>
      </c>
      <c r="B30" s="1" t="s">
        <v>316</v>
      </c>
      <c r="D30" s="1" t="s">
        <v>317</v>
      </c>
      <c r="E30" s="1" t="s">
        <v>215</v>
      </c>
      <c r="F30" s="1">
        <v>0</v>
      </c>
      <c r="G30" s="1" t="s">
        <v>227</v>
      </c>
      <c r="H30" s="1" t="s">
        <v>318</v>
      </c>
      <c r="I30" s="1" t="s">
        <v>319</v>
      </c>
      <c r="J30" s="1">
        <v>120</v>
      </c>
      <c r="K30" s="1" t="s">
        <v>24</v>
      </c>
      <c r="L30" s="1" t="s">
        <v>235</v>
      </c>
      <c r="M30" s="1" t="s">
        <v>20</v>
      </c>
      <c r="N30" s="1">
        <f>IF(Regions_master[[#This Row],[Forecaster]]=Regions_master[[#Headers],[Grigor]],1,0)</f>
        <v>0</v>
      </c>
      <c r="O30" s="1">
        <f>IF(Regions_master[[#This Row],[Forecaster]]=Regions_master[[#Headers],[Ingo]],1,0)</f>
        <v>0</v>
      </c>
      <c r="P30" s="1">
        <f>IF(Regions_master[[#This Row],[Forecaster]]=Regions_master[[#Headers],[Danyira]],1,0)</f>
        <v>0</v>
      </c>
      <c r="Q30" s="1">
        <f>IF(Regions_master[[#This Row],[Forecaster]]=Regions_master[[#Headers],[Sebastian]],1,0)</f>
        <v>0</v>
      </c>
      <c r="R30" s="1">
        <f>IF(Regions_master[[#This Row],[Forecaster]]=Regions_master[[#Headers],[Yasu]],1,0)</f>
        <v>0</v>
      </c>
      <c r="S30" s="1">
        <f>IF(Regions_master[[#This Row],[Forecaster]]=Regions_master[[#Headers],[Zhenqian]],1,0)</f>
        <v>0</v>
      </c>
      <c r="T30" s="1">
        <f>IF(Regions_master[[#This Row],[Forecaster]]=Regions_master[[#Headers],[Berna]],1,0)</f>
        <v>0</v>
      </c>
      <c r="U30" s="1">
        <f>IF(Regions_master[[#This Row],[Forecaster]]=Regions_master[[#Headers],[Julian]],1,0)</f>
        <v>0</v>
      </c>
      <c r="V30" s="1">
        <f>IF(Regions_master[[#This Row],[Forecaster]]=Regions_master[[#Headers],[Katarzyna]],1,0)</f>
        <v>1</v>
      </c>
      <c r="W30" s="1">
        <v>1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</v>
      </c>
      <c r="BD30" s="1">
        <v>0</v>
      </c>
      <c r="BE30" s="1">
        <v>0</v>
      </c>
      <c r="BF30" s="1">
        <v>1</v>
      </c>
      <c r="BG30" s="1">
        <v>0</v>
      </c>
      <c r="BH30" s="1">
        <v>0</v>
      </c>
      <c r="BI30" s="1">
        <v>1</v>
      </c>
      <c r="BJ30" s="1">
        <v>1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1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1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1</v>
      </c>
      <c r="CV30" s="1">
        <v>1</v>
      </c>
      <c r="CW30" s="1">
        <v>0</v>
      </c>
      <c r="CX30" s="1">
        <v>1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1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1</v>
      </c>
      <c r="DQ30" s="1">
        <v>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1</v>
      </c>
      <c r="EB30" s="1">
        <v>0</v>
      </c>
      <c r="EC30" s="1">
        <v>1</v>
      </c>
      <c r="ED30" s="1">
        <v>0</v>
      </c>
      <c r="EE30" s="1">
        <v>0</v>
      </c>
      <c r="EF30" s="1">
        <v>0</v>
      </c>
      <c r="EG30" s="1">
        <v>0</v>
      </c>
      <c r="EH30" s="1">
        <v>1</v>
      </c>
      <c r="EI30" s="1">
        <v>0</v>
      </c>
      <c r="EJ30" s="1">
        <v>0</v>
      </c>
      <c r="EK30" s="1">
        <v>1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1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1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1</v>
      </c>
      <c r="FE30" s="1">
        <v>1</v>
      </c>
      <c r="FF30" s="1">
        <v>1</v>
      </c>
      <c r="FG30" s="1">
        <v>1</v>
      </c>
      <c r="FH30" s="1">
        <v>1</v>
      </c>
      <c r="FI30" s="1">
        <v>1</v>
      </c>
      <c r="FJ30" s="1">
        <v>1</v>
      </c>
      <c r="FK30" s="1">
        <v>1</v>
      </c>
      <c r="FL30" s="1">
        <v>1</v>
      </c>
      <c r="FM30" s="1">
        <v>0</v>
      </c>
      <c r="FN30" s="1">
        <v>0</v>
      </c>
      <c r="FO30" s="1">
        <v>0</v>
      </c>
      <c r="FP30" s="1">
        <v>1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1</v>
      </c>
      <c r="GD30" s="1">
        <v>0</v>
      </c>
      <c r="GE30" s="1">
        <v>0</v>
      </c>
      <c r="GF30" s="1">
        <v>0</v>
      </c>
      <c r="GG30" s="1">
        <v>0</v>
      </c>
      <c r="GH30" s="1">
        <v>1</v>
      </c>
      <c r="GI30" s="1">
        <v>0</v>
      </c>
      <c r="GJ30" s="1">
        <v>0</v>
      </c>
      <c r="GK30" s="1">
        <v>1</v>
      </c>
      <c r="GL30" s="1">
        <v>1</v>
      </c>
      <c r="GM30" s="1">
        <v>0</v>
      </c>
      <c r="GN30" s="1">
        <v>1</v>
      </c>
      <c r="GO30" s="1">
        <v>0</v>
      </c>
      <c r="GP30" s="1">
        <v>0</v>
      </c>
      <c r="GQ30" s="1">
        <v>1</v>
      </c>
      <c r="GR30" s="1">
        <v>0</v>
      </c>
      <c r="GS30" s="1">
        <v>0</v>
      </c>
      <c r="GT30" s="1">
        <v>1</v>
      </c>
      <c r="GU30" s="1">
        <v>1</v>
      </c>
      <c r="GV30" s="1">
        <v>1</v>
      </c>
      <c r="GW30" s="1">
        <v>1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1</v>
      </c>
      <c r="HD30" s="1">
        <v>1</v>
      </c>
      <c r="HE30" s="1">
        <v>0</v>
      </c>
      <c r="HF30" s="1">
        <v>0</v>
      </c>
    </row>
    <row r="31" spans="1:214" x14ac:dyDescent="0.2">
      <c r="A31" s="1" t="s">
        <v>320</v>
      </c>
      <c r="B31" s="1" t="s">
        <v>320</v>
      </c>
      <c r="D31" s="1" t="s">
        <v>321</v>
      </c>
      <c r="E31" s="1" t="s">
        <v>215</v>
      </c>
      <c r="F31" s="1">
        <v>0</v>
      </c>
      <c r="G31" s="1" t="s">
        <v>322</v>
      </c>
      <c r="H31" s="1" t="s">
        <v>223</v>
      </c>
      <c r="I31" s="1" t="s">
        <v>322</v>
      </c>
      <c r="J31" s="1">
        <v>124</v>
      </c>
      <c r="K31" s="1" t="s">
        <v>22</v>
      </c>
      <c r="L31" s="1" t="s">
        <v>261</v>
      </c>
      <c r="M31" s="1" t="s">
        <v>17</v>
      </c>
      <c r="N31" s="1">
        <f>IF(Regions_master[[#This Row],[Forecaster]]=Regions_master[[#Headers],[Grigor]],1,0)</f>
        <v>0</v>
      </c>
      <c r="O31" s="1">
        <f>IF(Regions_master[[#This Row],[Forecaster]]=Regions_master[[#Headers],[Ingo]],1,0)</f>
        <v>0</v>
      </c>
      <c r="P31" s="1">
        <f>IF(Regions_master[[#This Row],[Forecaster]]=Regions_master[[#Headers],[Danyira]],1,0)</f>
        <v>0</v>
      </c>
      <c r="Q31" s="1">
        <f>IF(Regions_master[[#This Row],[Forecaster]]=Regions_master[[#Headers],[Sebastian]],1,0)</f>
        <v>0</v>
      </c>
      <c r="R31" s="1">
        <f>IF(Regions_master[[#This Row],[Forecaster]]=Regions_master[[#Headers],[Yasu]],1,0)</f>
        <v>1</v>
      </c>
      <c r="S31" s="1">
        <f>IF(Regions_master[[#This Row],[Forecaster]]=Regions_master[[#Headers],[Zhenqian]],1,0)</f>
        <v>0</v>
      </c>
      <c r="T31" s="1">
        <f>IF(Regions_master[[#This Row],[Forecaster]]=Regions_master[[#Headers],[Berna]],1,0)</f>
        <v>0</v>
      </c>
      <c r="U31" s="1">
        <f>IF(Regions_master[[#This Row],[Forecaster]]=Regions_master[[#Headers],[Julian]],1,0)</f>
        <v>0</v>
      </c>
      <c r="V31" s="1">
        <f>IF(Regions_master[[#This Row],[Forecaster]]=Regions_master[[#Headers],[Katarzyna]],1,0)</f>
        <v>0</v>
      </c>
      <c r="W31" s="1">
        <v>1</v>
      </c>
      <c r="X31" s="1">
        <v>1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1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1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1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1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1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1</v>
      </c>
      <c r="ED31" s="1">
        <v>0</v>
      </c>
      <c r="EE31" s="1">
        <v>0</v>
      </c>
      <c r="EF31" s="1">
        <v>1</v>
      </c>
      <c r="EG31" s="1">
        <v>0</v>
      </c>
      <c r="EH31" s="1">
        <v>1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1</v>
      </c>
      <c r="FC31" s="1">
        <v>0</v>
      </c>
      <c r="FD31" s="1">
        <v>1</v>
      </c>
      <c r="FE31" s="1">
        <v>1</v>
      </c>
      <c r="FF31" s="1">
        <v>1</v>
      </c>
      <c r="FG31" s="1">
        <v>1</v>
      </c>
      <c r="FH31" s="1">
        <v>1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1</v>
      </c>
      <c r="GK31" s="1">
        <v>1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</row>
    <row r="32" spans="1:214" x14ac:dyDescent="0.2">
      <c r="A32" s="1" t="s">
        <v>323</v>
      </c>
      <c r="B32" s="1" t="s">
        <v>324</v>
      </c>
      <c r="D32" s="1" t="s">
        <v>325</v>
      </c>
      <c r="E32" s="1" t="s">
        <v>215</v>
      </c>
      <c r="F32" s="1">
        <v>0</v>
      </c>
      <c r="G32" s="1" t="s">
        <v>227</v>
      </c>
      <c r="H32" s="1" t="s">
        <v>318</v>
      </c>
      <c r="I32" s="1" t="s">
        <v>319</v>
      </c>
      <c r="J32" s="1">
        <v>140</v>
      </c>
      <c r="K32" s="1" t="s">
        <v>24</v>
      </c>
      <c r="L32" s="1" t="s">
        <v>326</v>
      </c>
      <c r="M32" s="1" t="s">
        <v>20</v>
      </c>
      <c r="N32" s="1">
        <f>IF(Regions_master[[#This Row],[Forecaster]]=Regions_master[[#Headers],[Grigor]],1,0)</f>
        <v>0</v>
      </c>
      <c r="O32" s="1">
        <f>IF(Regions_master[[#This Row],[Forecaster]]=Regions_master[[#Headers],[Ingo]],1,0)</f>
        <v>0</v>
      </c>
      <c r="P32" s="1">
        <f>IF(Regions_master[[#This Row],[Forecaster]]=Regions_master[[#Headers],[Danyira]],1,0)</f>
        <v>0</v>
      </c>
      <c r="Q32" s="1">
        <f>IF(Regions_master[[#This Row],[Forecaster]]=Regions_master[[#Headers],[Sebastian]],1,0)</f>
        <v>0</v>
      </c>
      <c r="R32" s="1">
        <f>IF(Regions_master[[#This Row],[Forecaster]]=Regions_master[[#Headers],[Yasu]],1,0)</f>
        <v>0</v>
      </c>
      <c r="S32" s="1">
        <f>IF(Regions_master[[#This Row],[Forecaster]]=Regions_master[[#Headers],[Zhenqian]],1,0)</f>
        <v>0</v>
      </c>
      <c r="T32" s="1">
        <f>IF(Regions_master[[#This Row],[Forecaster]]=Regions_master[[#Headers],[Berna]],1,0)</f>
        <v>0</v>
      </c>
      <c r="U32" s="1">
        <f>IF(Regions_master[[#This Row],[Forecaster]]=Regions_master[[#Headers],[Julian]],1,0)</f>
        <v>0</v>
      </c>
      <c r="V32" s="1">
        <f>IF(Regions_master[[#This Row],[Forecaster]]=Regions_master[[#Headers],[Katarzyna]],1,0)</f>
        <v>1</v>
      </c>
      <c r="W32" s="1">
        <v>1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0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1</v>
      </c>
      <c r="BI32" s="1">
        <v>1</v>
      </c>
      <c r="BJ32" s="1">
        <v>1</v>
      </c>
      <c r="BK32" s="1">
        <v>0</v>
      </c>
      <c r="BL32" s="1">
        <v>0</v>
      </c>
      <c r="BM32" s="1">
        <v>1</v>
      </c>
      <c r="BN32" s="1">
        <v>0</v>
      </c>
      <c r="BO32" s="1">
        <v>0</v>
      </c>
      <c r="BP32" s="1">
        <v>0</v>
      </c>
      <c r="BQ32" s="1">
        <v>1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1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1</v>
      </c>
      <c r="CV32" s="1">
        <v>1</v>
      </c>
      <c r="CW32" s="1">
        <v>0</v>
      </c>
      <c r="CX32" s="1">
        <v>1</v>
      </c>
      <c r="CY32" s="1">
        <v>0</v>
      </c>
      <c r="CZ32" s="1">
        <v>0</v>
      </c>
      <c r="DA32" s="1">
        <v>0</v>
      </c>
      <c r="DB32" s="1">
        <v>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1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1</v>
      </c>
      <c r="DQ32" s="1">
        <v>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1</v>
      </c>
      <c r="EB32" s="1">
        <v>0</v>
      </c>
      <c r="EC32" s="1">
        <v>1</v>
      </c>
      <c r="ED32" s="1">
        <v>0</v>
      </c>
      <c r="EE32" s="1">
        <v>0</v>
      </c>
      <c r="EF32" s="1">
        <v>1</v>
      </c>
      <c r="EG32" s="1">
        <v>0</v>
      </c>
      <c r="EH32" s="1">
        <v>0</v>
      </c>
      <c r="EI32" s="1">
        <v>0</v>
      </c>
      <c r="EJ32" s="1">
        <v>1</v>
      </c>
      <c r="EK32" s="1">
        <v>1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1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0</v>
      </c>
      <c r="EX32" s="1">
        <v>1</v>
      </c>
      <c r="EY32" s="1">
        <v>0</v>
      </c>
      <c r="EZ32" s="1">
        <v>0</v>
      </c>
      <c r="FA32" s="1">
        <v>0</v>
      </c>
      <c r="FB32" s="1">
        <v>1</v>
      </c>
      <c r="FC32" s="1">
        <v>0</v>
      </c>
      <c r="FD32" s="1">
        <v>1</v>
      </c>
      <c r="FE32" s="1">
        <v>1</v>
      </c>
      <c r="FF32" s="1">
        <v>1</v>
      </c>
      <c r="FG32" s="1">
        <v>1</v>
      </c>
      <c r="FH32" s="1">
        <v>1</v>
      </c>
      <c r="FI32" s="1">
        <v>1</v>
      </c>
      <c r="FJ32" s="1">
        <v>1</v>
      </c>
      <c r="FK32" s="1">
        <v>1</v>
      </c>
      <c r="FL32" s="1">
        <v>1</v>
      </c>
      <c r="FM32" s="1">
        <v>0</v>
      </c>
      <c r="FN32" s="1">
        <v>0</v>
      </c>
      <c r="FO32" s="1">
        <v>0</v>
      </c>
      <c r="FP32" s="1">
        <v>1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1</v>
      </c>
      <c r="FY32" s="1">
        <v>0</v>
      </c>
      <c r="FZ32" s="1">
        <v>0</v>
      </c>
      <c r="GA32" s="1">
        <v>0</v>
      </c>
      <c r="GB32" s="1">
        <v>0</v>
      </c>
      <c r="GC32" s="1">
        <v>1</v>
      </c>
      <c r="GD32" s="1">
        <v>0</v>
      </c>
      <c r="GE32" s="1">
        <v>0</v>
      </c>
      <c r="GF32" s="1">
        <v>0</v>
      </c>
      <c r="GG32" s="1">
        <v>0</v>
      </c>
      <c r="GH32" s="1">
        <v>1</v>
      </c>
      <c r="GI32" s="1">
        <v>0</v>
      </c>
      <c r="GJ32" s="1">
        <v>1</v>
      </c>
      <c r="GK32" s="1">
        <v>0</v>
      </c>
      <c r="GL32" s="1">
        <v>0</v>
      </c>
      <c r="GM32" s="1">
        <v>1</v>
      </c>
      <c r="GN32" s="1">
        <v>1</v>
      </c>
      <c r="GO32" s="1">
        <v>1</v>
      </c>
      <c r="GP32" s="1">
        <v>0</v>
      </c>
      <c r="GQ32" s="1">
        <v>1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</row>
    <row r="33" spans="1:214" x14ac:dyDescent="0.2">
      <c r="A33" s="1" t="s">
        <v>327</v>
      </c>
      <c r="B33" s="1" t="s">
        <v>327</v>
      </c>
      <c r="D33" s="1" t="s">
        <v>328</v>
      </c>
      <c r="E33" s="1" t="s">
        <v>215</v>
      </c>
      <c r="F33" s="1">
        <v>0</v>
      </c>
      <c r="G33" s="1" t="s">
        <v>227</v>
      </c>
      <c r="H33" s="1" t="s">
        <v>318</v>
      </c>
      <c r="I33" s="1" t="s">
        <v>319</v>
      </c>
      <c r="J33" s="1">
        <v>148</v>
      </c>
      <c r="K33" s="1" t="s">
        <v>24</v>
      </c>
      <c r="L33" s="1" t="s">
        <v>261</v>
      </c>
      <c r="M33" s="1" t="s">
        <v>20</v>
      </c>
      <c r="N33" s="1">
        <f>IF(Regions_master[[#This Row],[Forecaster]]=Regions_master[[#Headers],[Grigor]],1,0)</f>
        <v>0</v>
      </c>
      <c r="O33" s="1">
        <f>IF(Regions_master[[#This Row],[Forecaster]]=Regions_master[[#Headers],[Ingo]],1,0)</f>
        <v>0</v>
      </c>
      <c r="P33" s="1">
        <f>IF(Regions_master[[#This Row],[Forecaster]]=Regions_master[[#Headers],[Danyira]],1,0)</f>
        <v>0</v>
      </c>
      <c r="Q33" s="1">
        <f>IF(Regions_master[[#This Row],[Forecaster]]=Regions_master[[#Headers],[Sebastian]],1,0)</f>
        <v>0</v>
      </c>
      <c r="R33" s="1">
        <f>IF(Regions_master[[#This Row],[Forecaster]]=Regions_master[[#Headers],[Yasu]],1,0)</f>
        <v>0</v>
      </c>
      <c r="S33" s="1">
        <f>IF(Regions_master[[#This Row],[Forecaster]]=Regions_master[[#Headers],[Zhenqian]],1,0)</f>
        <v>0</v>
      </c>
      <c r="T33" s="1">
        <f>IF(Regions_master[[#This Row],[Forecaster]]=Regions_master[[#Headers],[Berna]],1,0)</f>
        <v>0</v>
      </c>
      <c r="U33" s="1">
        <f>IF(Regions_master[[#This Row],[Forecaster]]=Regions_master[[#Headers],[Julian]],1,0)</f>
        <v>0</v>
      </c>
      <c r="V33" s="1">
        <f>IF(Regions_master[[#This Row],[Forecaster]]=Regions_master[[#Headers],[Katarzyna]],1,0)</f>
        <v>1</v>
      </c>
      <c r="W33" s="1">
        <v>1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1</v>
      </c>
      <c r="BH33" s="1">
        <v>1</v>
      </c>
      <c r="BI33" s="1">
        <v>1</v>
      </c>
      <c r="BJ33" s="1">
        <v>1</v>
      </c>
      <c r="BK33" s="1">
        <v>0</v>
      </c>
      <c r="BL33" s="1">
        <v>0</v>
      </c>
      <c r="BM33" s="1">
        <v>1</v>
      </c>
      <c r="BN33" s="1">
        <v>0</v>
      </c>
      <c r="BO33" s="1">
        <v>0</v>
      </c>
      <c r="BP33" s="1">
        <v>0</v>
      </c>
      <c r="BQ33" s="1">
        <v>1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1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</v>
      </c>
      <c r="CV33" s="1">
        <v>1</v>
      </c>
      <c r="CW33" s="1">
        <v>0</v>
      </c>
      <c r="CX33" s="1">
        <v>1</v>
      </c>
      <c r="CY33" s="1">
        <v>0</v>
      </c>
      <c r="CZ33" s="1">
        <v>0</v>
      </c>
      <c r="DA33" s="1">
        <v>1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1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1</v>
      </c>
      <c r="DQ33" s="1">
        <v>1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1</v>
      </c>
      <c r="EB33" s="1">
        <v>0</v>
      </c>
      <c r="EC33" s="1">
        <v>0</v>
      </c>
      <c r="ED33" s="1">
        <v>1</v>
      </c>
      <c r="EE33" s="1">
        <v>0</v>
      </c>
      <c r="EF33" s="1">
        <v>0</v>
      </c>
      <c r="EG33" s="1">
        <v>0</v>
      </c>
      <c r="EH33" s="3">
        <v>1</v>
      </c>
      <c r="EI33" s="1">
        <v>0</v>
      </c>
      <c r="EJ33" s="1">
        <v>1</v>
      </c>
      <c r="EK33" s="1">
        <v>1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1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0</v>
      </c>
      <c r="EX33" s="1">
        <v>1</v>
      </c>
      <c r="EY33" s="1">
        <v>0</v>
      </c>
      <c r="EZ33" s="1">
        <v>0</v>
      </c>
      <c r="FA33" s="1">
        <v>1</v>
      </c>
      <c r="FB33" s="1">
        <v>0</v>
      </c>
      <c r="FC33" s="1">
        <v>0</v>
      </c>
      <c r="FD33" s="1">
        <v>1</v>
      </c>
      <c r="FE33" s="1">
        <v>1</v>
      </c>
      <c r="FF33" s="1">
        <v>1</v>
      </c>
      <c r="FG33" s="1">
        <v>1</v>
      </c>
      <c r="FH33" s="1">
        <v>1</v>
      </c>
      <c r="FI33" s="1">
        <v>1</v>
      </c>
      <c r="FJ33" s="1">
        <v>1</v>
      </c>
      <c r="FK33" s="1">
        <v>1</v>
      </c>
      <c r="FL33" s="1">
        <v>1</v>
      </c>
      <c r="FM33" s="1">
        <v>0</v>
      </c>
      <c r="FN33" s="1">
        <v>0</v>
      </c>
      <c r="FO33" s="1">
        <v>0</v>
      </c>
      <c r="FP33" s="1">
        <v>1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1</v>
      </c>
      <c r="GD33" s="1">
        <v>0</v>
      </c>
      <c r="GE33" s="1">
        <v>0</v>
      </c>
      <c r="GF33" s="1">
        <v>0</v>
      </c>
      <c r="GG33" s="1">
        <v>1</v>
      </c>
      <c r="GH33" s="1">
        <v>1</v>
      </c>
      <c r="GI33" s="1">
        <v>0</v>
      </c>
      <c r="GJ33" s="1">
        <v>0</v>
      </c>
      <c r="GK33" s="1">
        <v>1</v>
      </c>
      <c r="GL33" s="1">
        <v>0</v>
      </c>
      <c r="GM33" s="1">
        <v>1</v>
      </c>
      <c r="GN33" s="1">
        <v>1</v>
      </c>
      <c r="GO33" s="1">
        <v>1</v>
      </c>
      <c r="GP33" s="1">
        <v>0</v>
      </c>
      <c r="GQ33" s="1">
        <v>1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</row>
    <row r="34" spans="1:214" x14ac:dyDescent="0.2">
      <c r="A34" s="1" t="s">
        <v>329</v>
      </c>
      <c r="B34" s="1" t="s">
        <v>329</v>
      </c>
      <c r="D34" s="1" t="s">
        <v>330</v>
      </c>
      <c r="E34" s="1" t="s">
        <v>215</v>
      </c>
      <c r="F34" s="1">
        <v>0</v>
      </c>
      <c r="G34" s="1" t="s">
        <v>238</v>
      </c>
      <c r="H34" s="1" t="s">
        <v>239</v>
      </c>
      <c r="I34" s="1" t="s">
        <v>240</v>
      </c>
      <c r="J34" s="1">
        <v>152</v>
      </c>
      <c r="K34" s="1" t="s">
        <v>24</v>
      </c>
      <c r="L34" s="1" t="s">
        <v>235</v>
      </c>
      <c r="M34" s="1" t="s">
        <v>16</v>
      </c>
      <c r="N34" s="1">
        <f>IF(Regions_master[[#This Row],[Forecaster]]=Regions_master[[#Headers],[Grigor]],1,0)</f>
        <v>0</v>
      </c>
      <c r="O34" s="1">
        <f>IF(Regions_master[[#This Row],[Forecaster]]=Regions_master[[#Headers],[Ingo]],1,0)</f>
        <v>0</v>
      </c>
      <c r="P34" s="1">
        <f>IF(Regions_master[[#This Row],[Forecaster]]=Regions_master[[#Headers],[Danyira]],1,0)</f>
        <v>0</v>
      </c>
      <c r="Q34" s="1">
        <f>IF(Regions_master[[#This Row],[Forecaster]]=Regions_master[[#Headers],[Sebastian]],1,0)</f>
        <v>1</v>
      </c>
      <c r="R34" s="1">
        <f>IF(Regions_master[[#This Row],[Forecaster]]=Regions_master[[#Headers],[Yasu]],1,0)</f>
        <v>0</v>
      </c>
      <c r="S34" s="1">
        <f>IF(Regions_master[[#This Row],[Forecaster]]=Regions_master[[#Headers],[Zhenqian]],1,0)</f>
        <v>0</v>
      </c>
      <c r="T34" s="1">
        <f>IF(Regions_master[[#This Row],[Forecaster]]=Regions_master[[#Headers],[Berna]],1,0)</f>
        <v>0</v>
      </c>
      <c r="U34" s="1">
        <f>IF(Regions_master[[#This Row],[Forecaster]]=Regions_master[[#Headers],[Julian]],1,0)</f>
        <v>0</v>
      </c>
      <c r="V34" s="1">
        <f>IF(Regions_master[[#This Row],[Forecaster]]=Regions_master[[#Headers],[Katarzyna]],1,0)</f>
        <v>0</v>
      </c>
      <c r="W34" s="1">
        <v>1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1">
        <v>0</v>
      </c>
      <c r="BB34" s="1">
        <v>1</v>
      </c>
      <c r="BC34" s="1">
        <v>0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1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</v>
      </c>
      <c r="CT34" s="1">
        <v>0</v>
      </c>
      <c r="CU34" s="1">
        <v>1</v>
      </c>
      <c r="CV34" s="1">
        <v>1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1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1</v>
      </c>
      <c r="DQ34" s="1">
        <v>1</v>
      </c>
      <c r="DR34" s="1">
        <v>1</v>
      </c>
      <c r="DS34" s="1">
        <v>1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1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1</v>
      </c>
      <c r="EP34" s="1">
        <v>0</v>
      </c>
      <c r="EQ34" s="1">
        <v>0</v>
      </c>
      <c r="ER34" s="1">
        <v>1</v>
      </c>
      <c r="ES34" s="1">
        <v>0</v>
      </c>
      <c r="ET34" s="1">
        <v>0</v>
      </c>
      <c r="EU34" s="1">
        <v>0</v>
      </c>
      <c r="EV34" s="1">
        <v>0</v>
      </c>
      <c r="EW34" s="1">
        <v>1</v>
      </c>
      <c r="EX34" s="1">
        <v>1</v>
      </c>
      <c r="EY34" s="1">
        <v>0</v>
      </c>
      <c r="EZ34" s="1">
        <v>0</v>
      </c>
      <c r="FA34" s="1">
        <v>1</v>
      </c>
      <c r="FB34" s="1">
        <v>0</v>
      </c>
      <c r="FC34" s="1">
        <v>0</v>
      </c>
      <c r="FD34" s="1">
        <v>1</v>
      </c>
      <c r="FE34" s="1">
        <v>1</v>
      </c>
      <c r="FF34" s="1">
        <v>1</v>
      </c>
      <c r="FG34" s="1">
        <v>1</v>
      </c>
      <c r="FH34" s="1">
        <v>1</v>
      </c>
      <c r="FI34" s="1">
        <v>1</v>
      </c>
      <c r="FJ34" s="1">
        <v>1</v>
      </c>
      <c r="FK34" s="1">
        <v>1</v>
      </c>
      <c r="FL34" s="1">
        <v>1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1</v>
      </c>
      <c r="FW34" s="1">
        <v>1</v>
      </c>
      <c r="FX34" s="1">
        <v>0</v>
      </c>
      <c r="FY34" s="1">
        <v>0</v>
      </c>
      <c r="FZ34" s="1">
        <v>0</v>
      </c>
      <c r="GA34" s="1">
        <v>1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1</v>
      </c>
      <c r="GH34" s="1">
        <v>1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1</v>
      </c>
      <c r="GO34" s="1">
        <v>0</v>
      </c>
      <c r="GP34" s="1">
        <v>0</v>
      </c>
      <c r="GQ34" s="1">
        <v>0</v>
      </c>
      <c r="GR34" s="1">
        <v>0</v>
      </c>
      <c r="GS34" s="1">
        <v>1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</row>
    <row r="35" spans="1:214" x14ac:dyDescent="0.2">
      <c r="A35" s="1" t="s">
        <v>331</v>
      </c>
      <c r="B35" s="1" t="s">
        <v>331</v>
      </c>
      <c r="D35" s="1" t="s">
        <v>235</v>
      </c>
      <c r="E35" s="1" t="s">
        <v>215</v>
      </c>
      <c r="F35" s="1">
        <v>0</v>
      </c>
      <c r="G35" s="1" t="s">
        <v>216</v>
      </c>
      <c r="H35" s="1" t="s">
        <v>296</v>
      </c>
      <c r="I35" s="1" t="s">
        <v>297</v>
      </c>
      <c r="J35" s="1">
        <v>156</v>
      </c>
      <c r="K35" s="1" t="s">
        <v>24</v>
      </c>
      <c r="L35" s="1" t="s">
        <v>261</v>
      </c>
      <c r="M35" s="1" t="s">
        <v>299</v>
      </c>
      <c r="N35" s="1">
        <f>IF(Regions_master[[#This Row],[Forecaster]]=Regions_master[[#Headers],[Grigor]],1,0)</f>
        <v>0</v>
      </c>
      <c r="O35" s="1">
        <f>IF(Regions_master[[#This Row],[Forecaster]]=Regions_master[[#Headers],[Ingo]],1,0)</f>
        <v>0</v>
      </c>
      <c r="P35" s="1">
        <f>IF(Regions_master[[#This Row],[Forecaster]]=Regions_master[[#Headers],[Danyira]],1,0)</f>
        <v>0</v>
      </c>
      <c r="Q35" s="1">
        <f>IF(Regions_master[[#This Row],[Forecaster]]=Regions_master[[#Headers],[Sebastian]],1,0)</f>
        <v>0</v>
      </c>
      <c r="R35" s="1">
        <f>IF(Regions_master[[#This Row],[Forecaster]]=Regions_master[[#Headers],[Yasu]],1,0)</f>
        <v>0</v>
      </c>
      <c r="S35" s="1">
        <f>IF(Regions_master[[#This Row],[Forecaster]]=Regions_master[[#Headers],[Zhenqian]],1,0)</f>
        <v>1</v>
      </c>
      <c r="T35" s="1">
        <f>IF(Regions_master[[#This Row],[Forecaster]]=Regions_master[[#Headers],[Berna]],1,0)</f>
        <v>0</v>
      </c>
      <c r="U35" s="1">
        <f>IF(Regions_master[[#This Row],[Forecaster]]=Regions_master[[#Headers],[Julian]],1,0)</f>
        <v>0</v>
      </c>
      <c r="V35" s="1">
        <f>IF(Regions_master[[#This Row],[Forecaster]]=Regions_master[[#Headers],[Katarzyna]],1,0)</f>
        <v>0</v>
      </c>
      <c r="W35" s="1">
        <v>1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1</v>
      </c>
      <c r="BQ35" s="1">
        <v>0</v>
      </c>
      <c r="BR35" s="1">
        <v>0</v>
      </c>
      <c r="BS35" s="1">
        <v>1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1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1</v>
      </c>
      <c r="CU35" s="1">
        <v>1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1</v>
      </c>
      <c r="DD35" s="1">
        <v>0</v>
      </c>
      <c r="DE35" s="1">
        <v>1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1</v>
      </c>
      <c r="DQ35" s="1">
        <v>1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1</v>
      </c>
      <c r="ED35" s="1">
        <v>0</v>
      </c>
      <c r="EE35" s="1">
        <v>0</v>
      </c>
      <c r="EF35" s="1">
        <v>1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1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1</v>
      </c>
      <c r="FC35" s="1">
        <v>0</v>
      </c>
      <c r="FD35" s="1">
        <v>1</v>
      </c>
      <c r="FE35" s="1">
        <v>1</v>
      </c>
      <c r="FF35" s="1">
        <v>1</v>
      </c>
      <c r="FG35" s="1">
        <v>1</v>
      </c>
      <c r="FH35" s="1">
        <v>1</v>
      </c>
      <c r="FI35" s="1">
        <v>1</v>
      </c>
      <c r="FJ35" s="1">
        <v>1</v>
      </c>
      <c r="FK35" s="1">
        <v>1</v>
      </c>
      <c r="FL35" s="1">
        <v>1</v>
      </c>
      <c r="FM35" s="1">
        <v>0</v>
      </c>
      <c r="FN35" s="1">
        <v>0</v>
      </c>
      <c r="FO35" s="1">
        <v>0</v>
      </c>
      <c r="FP35" s="1">
        <v>0</v>
      </c>
      <c r="FQ35" s="1">
        <v>1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1</v>
      </c>
      <c r="FZ35" s="1">
        <v>0</v>
      </c>
      <c r="GA35" s="1">
        <v>0</v>
      </c>
      <c r="GB35" s="1">
        <v>0</v>
      </c>
      <c r="GC35" s="1">
        <v>0</v>
      </c>
      <c r="GD35" s="1">
        <v>1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1</v>
      </c>
      <c r="GK35" s="1">
        <v>0</v>
      </c>
      <c r="GL35" s="1">
        <v>0</v>
      </c>
      <c r="GM35" s="1">
        <v>0</v>
      </c>
      <c r="GN35" s="1">
        <v>1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1</v>
      </c>
      <c r="GU35" s="1">
        <v>1</v>
      </c>
      <c r="GV35" s="1">
        <v>1</v>
      </c>
      <c r="GW35" s="1">
        <v>1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1</v>
      </c>
      <c r="HF35" s="1">
        <v>1</v>
      </c>
    </row>
    <row r="36" spans="1:214" x14ac:dyDescent="0.2">
      <c r="A36" s="1" t="s">
        <v>332</v>
      </c>
      <c r="B36" s="1" t="s">
        <v>332</v>
      </c>
      <c r="D36" s="1" t="s">
        <v>333</v>
      </c>
      <c r="E36" s="1" t="s">
        <v>215</v>
      </c>
      <c r="F36" s="1">
        <v>0</v>
      </c>
      <c r="G36" s="1" t="s">
        <v>238</v>
      </c>
      <c r="H36" s="1" t="s">
        <v>239</v>
      </c>
      <c r="I36" s="1" t="s">
        <v>240</v>
      </c>
      <c r="J36" s="1">
        <v>170</v>
      </c>
      <c r="K36" s="1" t="s">
        <v>24</v>
      </c>
      <c r="L36" s="1" t="s">
        <v>261</v>
      </c>
      <c r="M36" s="1" t="s">
        <v>16</v>
      </c>
      <c r="N36" s="1">
        <f>IF(Regions_master[[#This Row],[Forecaster]]=Regions_master[[#Headers],[Grigor]],1,0)</f>
        <v>0</v>
      </c>
      <c r="O36" s="1">
        <f>IF(Regions_master[[#This Row],[Forecaster]]=Regions_master[[#Headers],[Ingo]],1,0)</f>
        <v>0</v>
      </c>
      <c r="P36" s="1">
        <f>IF(Regions_master[[#This Row],[Forecaster]]=Regions_master[[#Headers],[Danyira]],1,0)</f>
        <v>0</v>
      </c>
      <c r="Q36" s="1">
        <f>IF(Regions_master[[#This Row],[Forecaster]]=Regions_master[[#Headers],[Sebastian]],1,0)</f>
        <v>1</v>
      </c>
      <c r="R36" s="1">
        <f>IF(Regions_master[[#This Row],[Forecaster]]=Regions_master[[#Headers],[Yasu]],1,0)</f>
        <v>0</v>
      </c>
      <c r="S36" s="1">
        <f>IF(Regions_master[[#This Row],[Forecaster]]=Regions_master[[#Headers],[Zhenqian]],1,0)</f>
        <v>0</v>
      </c>
      <c r="T36" s="1">
        <f>IF(Regions_master[[#This Row],[Forecaster]]=Regions_master[[#Headers],[Berna]],1,0)</f>
        <v>0</v>
      </c>
      <c r="U36" s="1">
        <f>IF(Regions_master[[#This Row],[Forecaster]]=Regions_master[[#Headers],[Julian]],1,0)</f>
        <v>0</v>
      </c>
      <c r="V36" s="1">
        <f>IF(Regions_master[[#This Row],[Forecaster]]=Regions_master[[#Headers],[Katarzyna]],1,0)</f>
        <v>0</v>
      </c>
      <c r="W36" s="1">
        <v>1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1</v>
      </c>
      <c r="BC36" s="1">
        <v>1</v>
      </c>
      <c r="BD36" s="1">
        <v>0</v>
      </c>
      <c r="BE36" s="1">
        <v>1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1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</v>
      </c>
      <c r="CT36" s="1">
        <v>0</v>
      </c>
      <c r="CU36" s="1">
        <v>1</v>
      </c>
      <c r="CV36" s="1">
        <v>1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1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1</v>
      </c>
      <c r="EE36" s="1">
        <v>0</v>
      </c>
      <c r="EF36" s="1">
        <v>0</v>
      </c>
      <c r="EG36" s="1">
        <v>0</v>
      </c>
      <c r="EH36" s="1">
        <v>1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1</v>
      </c>
      <c r="EP36" s="1">
        <v>0</v>
      </c>
      <c r="EQ36" s="1">
        <v>0</v>
      </c>
      <c r="ER36" s="1">
        <v>1</v>
      </c>
      <c r="ES36" s="1">
        <v>1</v>
      </c>
      <c r="ET36" s="1">
        <v>0</v>
      </c>
      <c r="EU36" s="1">
        <v>0</v>
      </c>
      <c r="EV36" s="1">
        <v>0</v>
      </c>
      <c r="EW36" s="1">
        <v>1</v>
      </c>
      <c r="EX36" s="1">
        <v>1</v>
      </c>
      <c r="EY36" s="1">
        <v>0</v>
      </c>
      <c r="EZ36" s="1">
        <v>0</v>
      </c>
      <c r="FA36" s="1">
        <v>1</v>
      </c>
      <c r="FB36" s="1">
        <v>0</v>
      </c>
      <c r="FC36" s="1">
        <v>0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1</v>
      </c>
      <c r="FJ36" s="1">
        <v>1</v>
      </c>
      <c r="FK36" s="1">
        <v>1</v>
      </c>
      <c r="FL36" s="1">
        <v>1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1</v>
      </c>
      <c r="FW36" s="1">
        <v>1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1</v>
      </c>
      <c r="GH36" s="1">
        <v>1</v>
      </c>
      <c r="GI36" s="1">
        <v>0</v>
      </c>
      <c r="GJ36" s="1">
        <v>0</v>
      </c>
      <c r="GK36" s="1">
        <v>1</v>
      </c>
      <c r="GL36" s="1">
        <v>0</v>
      </c>
      <c r="GM36" s="1">
        <v>0</v>
      </c>
      <c r="GN36" s="1">
        <v>1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1</v>
      </c>
      <c r="GU36" s="1">
        <v>1</v>
      </c>
      <c r="GV36" s="1">
        <v>1</v>
      </c>
      <c r="GW36" s="1">
        <v>1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1</v>
      </c>
      <c r="HD36" s="1">
        <v>1</v>
      </c>
      <c r="HE36" s="1">
        <v>1</v>
      </c>
      <c r="HF36" s="1">
        <v>0</v>
      </c>
    </row>
    <row r="37" spans="1:214" x14ac:dyDescent="0.2">
      <c r="A37" s="1" t="s">
        <v>334</v>
      </c>
      <c r="B37" s="1" t="s">
        <v>334</v>
      </c>
      <c r="D37" s="1" t="s">
        <v>335</v>
      </c>
      <c r="E37" s="1" t="s">
        <v>215</v>
      </c>
      <c r="F37" s="1">
        <v>0</v>
      </c>
      <c r="G37" s="1" t="s">
        <v>227</v>
      </c>
      <c r="H37" s="1" t="s">
        <v>308</v>
      </c>
      <c r="I37" s="1" t="s">
        <v>309</v>
      </c>
      <c r="J37" s="1">
        <v>174</v>
      </c>
      <c r="K37" s="1" t="s">
        <v>24</v>
      </c>
      <c r="L37" s="1" t="s">
        <v>336</v>
      </c>
      <c r="M37" s="1" t="s">
        <v>19</v>
      </c>
      <c r="N37" s="1">
        <f>IF(Regions_master[[#This Row],[Forecaster]]=Regions_master[[#Headers],[Grigor]],1,0)</f>
        <v>0</v>
      </c>
      <c r="O37" s="1">
        <f>IF(Regions_master[[#This Row],[Forecaster]]=Regions_master[[#Headers],[Ingo]],1,0)</f>
        <v>0</v>
      </c>
      <c r="P37" s="1">
        <f>IF(Regions_master[[#This Row],[Forecaster]]=Regions_master[[#Headers],[Danyira]],1,0)</f>
        <v>0</v>
      </c>
      <c r="Q37" s="1">
        <f>IF(Regions_master[[#This Row],[Forecaster]]=Regions_master[[#Headers],[Sebastian]],1,0)</f>
        <v>0</v>
      </c>
      <c r="R37" s="1">
        <f>IF(Regions_master[[#This Row],[Forecaster]]=Regions_master[[#Headers],[Yasu]],1,0)</f>
        <v>0</v>
      </c>
      <c r="S37" s="1">
        <f>IF(Regions_master[[#This Row],[Forecaster]]=Regions_master[[#Headers],[Zhenqian]],1,0)</f>
        <v>0</v>
      </c>
      <c r="T37" s="1">
        <f>IF(Regions_master[[#This Row],[Forecaster]]=Regions_master[[#Headers],[Berna]],1,0)</f>
        <v>0</v>
      </c>
      <c r="U37" s="1">
        <f>IF(Regions_master[[#This Row],[Forecaster]]=Regions_master[[#Headers],[Julian]],1,0)</f>
        <v>1</v>
      </c>
      <c r="V37" s="1">
        <f>IF(Regions_master[[#This Row],[Forecaster]]=Regions_master[[#Headers],[Katarzyna]],1,0)</f>
        <v>0</v>
      </c>
      <c r="W37" s="1">
        <v>1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0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1</v>
      </c>
      <c r="BI37" s="1">
        <v>1</v>
      </c>
      <c r="BJ37" s="1">
        <v>1</v>
      </c>
      <c r="BK37" s="1">
        <v>0</v>
      </c>
      <c r="BL37" s="1">
        <v>1</v>
      </c>
      <c r="BM37" s="1">
        <v>0</v>
      </c>
      <c r="BN37" s="1">
        <v>1</v>
      </c>
      <c r="BO37" s="1">
        <v>0</v>
      </c>
      <c r="BP37" s="1">
        <v>0</v>
      </c>
      <c r="BQ37" s="1">
        <v>1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1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1</v>
      </c>
      <c r="DQ37" s="1">
        <v>1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1</v>
      </c>
      <c r="EE37" s="1">
        <v>1</v>
      </c>
      <c r="EF37" s="1">
        <v>0</v>
      </c>
      <c r="EG37" s="1">
        <v>0</v>
      </c>
      <c r="EH37" s="1">
        <v>0</v>
      </c>
      <c r="EI37" s="1">
        <v>1</v>
      </c>
      <c r="EJ37" s="1">
        <v>1</v>
      </c>
      <c r="EK37" s="1">
        <v>1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1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1</v>
      </c>
      <c r="FB37" s="1">
        <v>0</v>
      </c>
      <c r="FC37" s="1">
        <v>0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 s="1">
        <v>0</v>
      </c>
      <c r="FN37" s="1">
        <v>0</v>
      </c>
      <c r="FO37" s="1">
        <v>0</v>
      </c>
      <c r="FP37" s="1">
        <v>1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1</v>
      </c>
      <c r="FY37" s="1">
        <v>0</v>
      </c>
      <c r="FZ37" s="1">
        <v>0</v>
      </c>
      <c r="GA37" s="1">
        <v>0</v>
      </c>
      <c r="GB37" s="1">
        <v>0</v>
      </c>
      <c r="GC37" s="1">
        <v>1</v>
      </c>
      <c r="GD37" s="1">
        <v>0</v>
      </c>
      <c r="GE37" s="1">
        <v>0</v>
      </c>
      <c r="GF37" s="1">
        <v>0</v>
      </c>
      <c r="GG37" s="1">
        <v>1</v>
      </c>
      <c r="GH37" s="1">
        <v>0</v>
      </c>
      <c r="GI37" s="1">
        <v>0</v>
      </c>
      <c r="GJ37" s="1">
        <v>0</v>
      </c>
      <c r="GK37" s="1">
        <v>0</v>
      </c>
      <c r="GL37" s="1">
        <v>1</v>
      </c>
      <c r="GM37" s="1">
        <v>0</v>
      </c>
      <c r="GN37" s="1">
        <v>1</v>
      </c>
      <c r="GO37" s="1">
        <v>1</v>
      </c>
      <c r="GP37" s="1">
        <v>1</v>
      </c>
      <c r="GQ37" s="1">
        <v>1</v>
      </c>
      <c r="GR37" s="1">
        <v>0</v>
      </c>
      <c r="GS37" s="1">
        <v>0</v>
      </c>
      <c r="GT37" s="1">
        <v>1</v>
      </c>
      <c r="GU37" s="1">
        <v>1</v>
      </c>
      <c r="GV37" s="1">
        <v>1</v>
      </c>
      <c r="GW37" s="1">
        <v>1</v>
      </c>
      <c r="GX37" s="1">
        <v>0</v>
      </c>
      <c r="GY37" s="1">
        <v>1</v>
      </c>
      <c r="GZ37" s="1">
        <v>1</v>
      </c>
      <c r="HA37" s="1">
        <v>0</v>
      </c>
      <c r="HB37" s="1">
        <v>0</v>
      </c>
      <c r="HC37" s="1">
        <v>1</v>
      </c>
      <c r="HD37" s="1">
        <v>1</v>
      </c>
      <c r="HE37" s="1">
        <v>0</v>
      </c>
      <c r="HF37" s="1">
        <v>0</v>
      </c>
    </row>
    <row r="38" spans="1:214" x14ac:dyDescent="0.2">
      <c r="A38" s="1" t="s">
        <v>337</v>
      </c>
      <c r="B38" s="1" t="s">
        <v>337</v>
      </c>
      <c r="D38" s="1" t="s">
        <v>338</v>
      </c>
      <c r="E38" s="1" t="s">
        <v>215</v>
      </c>
      <c r="F38" s="1">
        <v>0</v>
      </c>
      <c r="G38" s="1" t="s">
        <v>227</v>
      </c>
      <c r="H38" s="1" t="s">
        <v>318</v>
      </c>
      <c r="I38" s="1" t="s">
        <v>319</v>
      </c>
      <c r="J38" s="1">
        <v>178</v>
      </c>
      <c r="K38" s="1" t="s">
        <v>24</v>
      </c>
      <c r="L38" s="1" t="s">
        <v>235</v>
      </c>
      <c r="M38" s="1" t="s">
        <v>20</v>
      </c>
      <c r="N38" s="1">
        <f>IF(Regions_master[[#This Row],[Forecaster]]=Regions_master[[#Headers],[Grigor]],1,0)</f>
        <v>0</v>
      </c>
      <c r="O38" s="1">
        <f>IF(Regions_master[[#This Row],[Forecaster]]=Regions_master[[#Headers],[Ingo]],1,0)</f>
        <v>0</v>
      </c>
      <c r="P38" s="1">
        <f>IF(Regions_master[[#This Row],[Forecaster]]=Regions_master[[#Headers],[Danyira]],1,0)</f>
        <v>0</v>
      </c>
      <c r="Q38" s="1">
        <f>IF(Regions_master[[#This Row],[Forecaster]]=Regions_master[[#Headers],[Sebastian]],1,0)</f>
        <v>0</v>
      </c>
      <c r="R38" s="1">
        <f>IF(Regions_master[[#This Row],[Forecaster]]=Regions_master[[#Headers],[Yasu]],1,0)</f>
        <v>0</v>
      </c>
      <c r="S38" s="1">
        <f>IF(Regions_master[[#This Row],[Forecaster]]=Regions_master[[#Headers],[Zhenqian]],1,0)</f>
        <v>0</v>
      </c>
      <c r="T38" s="1">
        <f>IF(Regions_master[[#This Row],[Forecaster]]=Regions_master[[#Headers],[Berna]],1,0)</f>
        <v>0</v>
      </c>
      <c r="U38" s="1">
        <f>IF(Regions_master[[#This Row],[Forecaster]]=Regions_master[[#Headers],[Julian]],1,0)</f>
        <v>0</v>
      </c>
      <c r="V38" s="1">
        <f>IF(Regions_master[[#This Row],[Forecaster]]=Regions_master[[#Headers],[Katarzyna]],1,0)</f>
        <v>1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0</v>
      </c>
      <c r="AP38" s="1">
        <v>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1</v>
      </c>
      <c r="BG38" s="1">
        <v>0</v>
      </c>
      <c r="BH38" s="1">
        <v>0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1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1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1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1</v>
      </c>
      <c r="CV38" s="1">
        <v>1</v>
      </c>
      <c r="CW38" s="1">
        <v>0</v>
      </c>
      <c r="CX38" s="1">
        <v>1</v>
      </c>
      <c r="CY38" s="1">
        <v>0</v>
      </c>
      <c r="CZ38" s="1">
        <v>0</v>
      </c>
      <c r="DA38" s="1">
        <v>1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1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1</v>
      </c>
      <c r="DQ38" s="1">
        <v>1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1</v>
      </c>
      <c r="EB38" s="1">
        <v>0</v>
      </c>
      <c r="EC38" s="1">
        <v>1</v>
      </c>
      <c r="ED38" s="1">
        <v>0</v>
      </c>
      <c r="EE38" s="1">
        <v>0</v>
      </c>
      <c r="EF38" s="1">
        <v>1</v>
      </c>
      <c r="EG38" s="1">
        <v>0</v>
      </c>
      <c r="EH38" s="1">
        <v>1</v>
      </c>
      <c r="EI38" s="1">
        <v>0</v>
      </c>
      <c r="EJ38" s="1">
        <v>0</v>
      </c>
      <c r="EK38" s="1">
        <v>1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1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1</v>
      </c>
      <c r="EY38" s="1">
        <v>0</v>
      </c>
      <c r="EZ38" s="1">
        <v>0</v>
      </c>
      <c r="FA38" s="1">
        <v>0</v>
      </c>
      <c r="FB38" s="1">
        <v>1</v>
      </c>
      <c r="FC38" s="1">
        <v>0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1</v>
      </c>
      <c r="FM38" s="1">
        <v>0</v>
      </c>
      <c r="FN38" s="1">
        <v>0</v>
      </c>
      <c r="FO38" s="1">
        <v>0</v>
      </c>
      <c r="FP38" s="1">
        <v>1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</v>
      </c>
      <c r="GD38" s="1">
        <v>0</v>
      </c>
      <c r="GE38" s="1">
        <v>0</v>
      </c>
      <c r="GF38" s="1">
        <v>0</v>
      </c>
      <c r="GG38" s="1">
        <v>0</v>
      </c>
      <c r="GH38" s="1">
        <v>1</v>
      </c>
      <c r="GI38" s="1">
        <v>0</v>
      </c>
      <c r="GJ38" s="1">
        <v>1</v>
      </c>
      <c r="GK38" s="1">
        <v>1</v>
      </c>
      <c r="GL38" s="1">
        <v>1</v>
      </c>
      <c r="GM38" s="1">
        <v>0</v>
      </c>
      <c r="GN38" s="1">
        <v>1</v>
      </c>
      <c r="GO38" s="1">
        <v>0</v>
      </c>
      <c r="GP38" s="1">
        <v>0</v>
      </c>
      <c r="GQ38" s="1">
        <v>1</v>
      </c>
      <c r="GR38" s="1">
        <v>0</v>
      </c>
      <c r="GS38" s="1">
        <v>0</v>
      </c>
      <c r="GT38" s="1">
        <v>1</v>
      </c>
      <c r="GU38" s="1">
        <v>1</v>
      </c>
      <c r="GV38" s="1">
        <v>1</v>
      </c>
      <c r="GW38" s="1">
        <v>1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1</v>
      </c>
      <c r="HD38" s="1">
        <v>1</v>
      </c>
      <c r="HE38" s="1">
        <v>0</v>
      </c>
      <c r="HF38" s="1">
        <v>0</v>
      </c>
    </row>
    <row r="39" spans="1:214" x14ac:dyDescent="0.2">
      <c r="A39" s="1" t="s">
        <v>339</v>
      </c>
      <c r="B39" s="1" t="s">
        <v>340</v>
      </c>
      <c r="D39" s="1" t="s">
        <v>341</v>
      </c>
      <c r="E39" s="1" t="s">
        <v>215</v>
      </c>
      <c r="F39" s="1">
        <v>0</v>
      </c>
      <c r="G39" s="1" t="s">
        <v>238</v>
      </c>
      <c r="H39" s="1" t="s">
        <v>342</v>
      </c>
      <c r="I39" s="1" t="s">
        <v>343</v>
      </c>
      <c r="J39" s="1">
        <v>188</v>
      </c>
      <c r="K39" s="1" t="s">
        <v>24</v>
      </c>
      <c r="L39" s="1" t="s">
        <v>261</v>
      </c>
      <c r="M39" s="1" t="s">
        <v>16</v>
      </c>
      <c r="N39" s="1">
        <f>IF(Regions_master[[#This Row],[Forecaster]]=Regions_master[[#Headers],[Grigor]],1,0)</f>
        <v>0</v>
      </c>
      <c r="O39" s="1">
        <f>IF(Regions_master[[#This Row],[Forecaster]]=Regions_master[[#Headers],[Ingo]],1,0)</f>
        <v>0</v>
      </c>
      <c r="P39" s="1">
        <f>IF(Regions_master[[#This Row],[Forecaster]]=Regions_master[[#Headers],[Danyira]],1,0)</f>
        <v>0</v>
      </c>
      <c r="Q39" s="1">
        <f>IF(Regions_master[[#This Row],[Forecaster]]=Regions_master[[#Headers],[Sebastian]],1,0)</f>
        <v>1</v>
      </c>
      <c r="R39" s="1">
        <f>IF(Regions_master[[#This Row],[Forecaster]]=Regions_master[[#Headers],[Yasu]],1,0)</f>
        <v>0</v>
      </c>
      <c r="S39" s="1">
        <f>IF(Regions_master[[#This Row],[Forecaster]]=Regions_master[[#Headers],[Zhenqian]],1,0)</f>
        <v>0</v>
      </c>
      <c r="T39" s="1">
        <f>IF(Regions_master[[#This Row],[Forecaster]]=Regions_master[[#Headers],[Berna]],1,0)</f>
        <v>0</v>
      </c>
      <c r="U39" s="1">
        <f>IF(Regions_master[[#This Row],[Forecaster]]=Regions_master[[#Headers],[Julian]],1,0)</f>
        <v>0</v>
      </c>
      <c r="V39" s="1">
        <f>IF(Regions_master[[#This Row],[Forecaster]]=Regions_master[[#Headers],[Katarzyna]],1,0)</f>
        <v>0</v>
      </c>
      <c r="W39" s="1">
        <v>1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0</v>
      </c>
      <c r="BA39" s="1">
        <v>1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1</v>
      </c>
      <c r="CS39" s="1">
        <v>0</v>
      </c>
      <c r="CT39" s="1">
        <v>0</v>
      </c>
      <c r="CU39" s="1">
        <v>1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1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1</v>
      </c>
      <c r="DQ39" s="1">
        <v>1</v>
      </c>
      <c r="DR39" s="1">
        <v>1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1</v>
      </c>
      <c r="EE39" s="1">
        <v>0</v>
      </c>
      <c r="EF39" s="1">
        <v>1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1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1</v>
      </c>
      <c r="FB39" s="1">
        <v>1</v>
      </c>
      <c r="FC39" s="1">
        <v>0</v>
      </c>
      <c r="FD39" s="1">
        <v>1</v>
      </c>
      <c r="FE39" s="1">
        <v>1</v>
      </c>
      <c r="FF39" s="1">
        <v>1</v>
      </c>
      <c r="FG39" s="1">
        <v>1</v>
      </c>
      <c r="FH39" s="1">
        <v>1</v>
      </c>
      <c r="FI39" s="1">
        <v>1</v>
      </c>
      <c r="FJ39" s="1">
        <v>1</v>
      </c>
      <c r="FK39" s="1">
        <v>1</v>
      </c>
      <c r="FL39" s="1">
        <v>1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1</v>
      </c>
      <c r="FW39" s="1">
        <v>0</v>
      </c>
      <c r="FX39" s="1">
        <v>0</v>
      </c>
      <c r="FY39" s="1">
        <v>0</v>
      </c>
      <c r="FZ39" s="1">
        <v>0</v>
      </c>
      <c r="GA39" s="1">
        <v>1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1</v>
      </c>
      <c r="GH39" s="1">
        <v>0</v>
      </c>
      <c r="GI39" s="1">
        <v>0</v>
      </c>
      <c r="GJ39" s="1">
        <v>1</v>
      </c>
      <c r="GK39" s="1">
        <v>0</v>
      </c>
      <c r="GL39" s="1">
        <v>0</v>
      </c>
      <c r="GM39" s="1">
        <v>0</v>
      </c>
      <c r="GN39" s="1">
        <v>1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</row>
    <row r="40" spans="1:214" x14ac:dyDescent="0.2">
      <c r="A40" s="1" t="s">
        <v>344</v>
      </c>
      <c r="B40" s="1" t="s">
        <v>345</v>
      </c>
      <c r="D40" s="1" t="s">
        <v>346</v>
      </c>
      <c r="E40" s="1" t="s">
        <v>215</v>
      </c>
      <c r="F40" s="1">
        <v>0</v>
      </c>
      <c r="G40" s="1" t="s">
        <v>227</v>
      </c>
      <c r="H40" s="1" t="s">
        <v>280</v>
      </c>
      <c r="I40" s="1" t="s">
        <v>281</v>
      </c>
      <c r="J40" s="1">
        <v>384</v>
      </c>
      <c r="K40" s="1" t="s">
        <v>24</v>
      </c>
      <c r="L40" s="1" t="s">
        <v>336</v>
      </c>
      <c r="M40" s="1" t="s">
        <v>19</v>
      </c>
      <c r="N40" s="1">
        <f>IF(Regions_master[[#This Row],[Forecaster]]=Regions_master[[#Headers],[Grigor]],1,0)</f>
        <v>0</v>
      </c>
      <c r="O40" s="1">
        <f>IF(Regions_master[[#This Row],[Forecaster]]=Regions_master[[#Headers],[Ingo]],1,0)</f>
        <v>0</v>
      </c>
      <c r="P40" s="1">
        <f>IF(Regions_master[[#This Row],[Forecaster]]=Regions_master[[#Headers],[Danyira]],1,0)</f>
        <v>0</v>
      </c>
      <c r="Q40" s="1">
        <f>IF(Regions_master[[#This Row],[Forecaster]]=Regions_master[[#Headers],[Sebastian]],1,0)</f>
        <v>0</v>
      </c>
      <c r="R40" s="1">
        <f>IF(Regions_master[[#This Row],[Forecaster]]=Regions_master[[#Headers],[Yasu]],1,0)</f>
        <v>0</v>
      </c>
      <c r="S40" s="1">
        <f>IF(Regions_master[[#This Row],[Forecaster]]=Regions_master[[#Headers],[Zhenqian]],1,0)</f>
        <v>0</v>
      </c>
      <c r="T40" s="1">
        <f>IF(Regions_master[[#This Row],[Forecaster]]=Regions_master[[#Headers],[Berna]],1,0)</f>
        <v>0</v>
      </c>
      <c r="U40" s="1">
        <f>IF(Regions_master[[#This Row],[Forecaster]]=Regions_master[[#Headers],[Julian]],1,0)</f>
        <v>1</v>
      </c>
      <c r="V40" s="1">
        <f>IF(Regions_master[[#This Row],[Forecaster]]=Regions_master[[#Headers],[Katarzyna]],1,0)</f>
        <v>0</v>
      </c>
      <c r="W40" s="1">
        <v>1</v>
      </c>
      <c r="X40" s="1">
        <v>0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1</v>
      </c>
      <c r="BJ40" s="1">
        <v>1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1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1</v>
      </c>
      <c r="CQ40" s="1">
        <v>0</v>
      </c>
      <c r="CR40" s="1">
        <v>0</v>
      </c>
      <c r="CS40" s="1">
        <v>0</v>
      </c>
      <c r="CT40" s="1">
        <v>0</v>
      </c>
      <c r="CU40" s="1">
        <v>1</v>
      </c>
      <c r="CV40" s="1">
        <v>1</v>
      </c>
      <c r="CW40" s="1">
        <v>1</v>
      </c>
      <c r="CX40" s="1">
        <v>0</v>
      </c>
      <c r="CY40" s="1">
        <v>0</v>
      </c>
      <c r="CZ40" s="1">
        <v>0</v>
      </c>
      <c r="DA40" s="1">
        <v>0</v>
      </c>
      <c r="DB40" s="1">
        <v>1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1</v>
      </c>
      <c r="DQ40" s="1">
        <v>1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1</v>
      </c>
      <c r="DZ40" s="1">
        <v>0</v>
      </c>
      <c r="EA40" s="1">
        <v>0</v>
      </c>
      <c r="EB40" s="1">
        <v>0</v>
      </c>
      <c r="EC40" s="1">
        <v>1</v>
      </c>
      <c r="ED40" s="1">
        <v>0</v>
      </c>
      <c r="EE40" s="1">
        <v>0</v>
      </c>
      <c r="EF40" s="1">
        <v>0</v>
      </c>
      <c r="EG40" s="1">
        <v>1</v>
      </c>
      <c r="EH40" s="1">
        <v>0</v>
      </c>
      <c r="EI40" s="1">
        <v>0</v>
      </c>
      <c r="EJ40" s="1">
        <v>0</v>
      </c>
      <c r="EK40" s="1">
        <v>1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1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1</v>
      </c>
      <c r="FB40" s="1">
        <v>0</v>
      </c>
      <c r="FC40" s="1">
        <v>0</v>
      </c>
      <c r="FD40" s="1">
        <v>1</v>
      </c>
      <c r="FE40" s="1">
        <v>1</v>
      </c>
      <c r="FF40" s="1">
        <v>1</v>
      </c>
      <c r="FG40" s="1">
        <v>1</v>
      </c>
      <c r="FH40" s="1">
        <v>1</v>
      </c>
      <c r="FI40" s="1">
        <v>1</v>
      </c>
      <c r="FJ40" s="1">
        <v>1</v>
      </c>
      <c r="FK40" s="1">
        <v>1</v>
      </c>
      <c r="FL40" s="1">
        <v>1</v>
      </c>
      <c r="FM40" s="1">
        <v>0</v>
      </c>
      <c r="FN40" s="1">
        <v>0</v>
      </c>
      <c r="FO40" s="1">
        <v>0</v>
      </c>
      <c r="FP40" s="1">
        <v>1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1</v>
      </c>
      <c r="FY40" s="1">
        <v>0</v>
      </c>
      <c r="FZ40" s="1">
        <v>0</v>
      </c>
      <c r="GA40" s="1">
        <v>0</v>
      </c>
      <c r="GB40" s="1">
        <v>0</v>
      </c>
      <c r="GC40" s="1">
        <v>1</v>
      </c>
      <c r="GD40" s="1">
        <v>0</v>
      </c>
      <c r="GE40" s="1">
        <v>0</v>
      </c>
      <c r="GF40" s="1">
        <v>0</v>
      </c>
      <c r="GG40" s="1">
        <v>0</v>
      </c>
      <c r="GH40" s="1">
        <v>1</v>
      </c>
      <c r="GI40" s="1">
        <v>1</v>
      </c>
      <c r="GJ40" s="1">
        <v>0</v>
      </c>
      <c r="GK40" s="1">
        <v>0</v>
      </c>
      <c r="GL40" s="1">
        <v>1</v>
      </c>
      <c r="GM40" s="1">
        <v>0</v>
      </c>
      <c r="GN40" s="1">
        <v>1</v>
      </c>
      <c r="GO40" s="1">
        <v>0</v>
      </c>
      <c r="GP40" s="1">
        <v>0</v>
      </c>
      <c r="GQ40" s="1">
        <v>1</v>
      </c>
      <c r="GR40" s="1">
        <v>0</v>
      </c>
      <c r="GS40" s="1">
        <v>0</v>
      </c>
      <c r="GT40" s="1">
        <v>1</v>
      </c>
      <c r="GU40" s="1">
        <v>1</v>
      </c>
      <c r="GV40" s="1">
        <v>1</v>
      </c>
      <c r="GW40" s="1">
        <v>1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1</v>
      </c>
      <c r="HD40" s="1">
        <v>1</v>
      </c>
      <c r="HE40" s="1">
        <v>0</v>
      </c>
      <c r="HF40" s="1">
        <v>0</v>
      </c>
    </row>
    <row r="41" spans="1:214" x14ac:dyDescent="0.2">
      <c r="A41" s="1" t="s">
        <v>347</v>
      </c>
      <c r="B41" s="1" t="s">
        <v>347</v>
      </c>
      <c r="D41" s="1" t="s">
        <v>348</v>
      </c>
      <c r="E41" s="1" t="s">
        <v>215</v>
      </c>
      <c r="F41" s="1">
        <v>0</v>
      </c>
      <c r="G41" s="1" t="s">
        <v>251</v>
      </c>
      <c r="H41" s="1" t="s">
        <v>252</v>
      </c>
      <c r="I41" s="1" t="s">
        <v>253</v>
      </c>
      <c r="J41" s="1">
        <v>191</v>
      </c>
      <c r="K41" s="1" t="s">
        <v>22</v>
      </c>
      <c r="L41" s="1" t="s">
        <v>254</v>
      </c>
      <c r="M41" s="1" t="s">
        <v>13</v>
      </c>
      <c r="N41" s="1">
        <f>IF(Regions_master[[#This Row],[Forecaster]]=Regions_master[[#Headers],[Grigor]],1,0)</f>
        <v>1</v>
      </c>
      <c r="O41" s="1">
        <f>IF(Regions_master[[#This Row],[Forecaster]]=Regions_master[[#Headers],[Ingo]],1,0)</f>
        <v>0</v>
      </c>
      <c r="P41" s="1">
        <f>IF(Regions_master[[#This Row],[Forecaster]]=Regions_master[[#Headers],[Danyira]],1,0)</f>
        <v>0</v>
      </c>
      <c r="Q41" s="1">
        <f>IF(Regions_master[[#This Row],[Forecaster]]=Regions_master[[#Headers],[Sebastian]],1,0)</f>
        <v>0</v>
      </c>
      <c r="R41" s="1">
        <f>IF(Regions_master[[#This Row],[Forecaster]]=Regions_master[[#Headers],[Yasu]],1,0)</f>
        <v>0</v>
      </c>
      <c r="S41" s="1">
        <f>IF(Regions_master[[#This Row],[Forecaster]]=Regions_master[[#Headers],[Zhenqian]],1,0)</f>
        <v>0</v>
      </c>
      <c r="T41" s="1">
        <f>IF(Regions_master[[#This Row],[Forecaster]]=Regions_master[[#Headers],[Berna]],1,0)</f>
        <v>0</v>
      </c>
      <c r="U41" s="1">
        <f>IF(Regions_master[[#This Row],[Forecaster]]=Regions_master[[#Headers],[Julian]],1,0)</f>
        <v>0</v>
      </c>
      <c r="V41" s="1">
        <f>IF(Regions_master[[#This Row],[Forecaster]]=Regions_master[[#Headers],[Katarzyna]],1,0)</f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1</v>
      </c>
      <c r="AE41" s="1">
        <v>1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1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1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1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1</v>
      </c>
      <c r="EE41" s="1">
        <v>1</v>
      </c>
      <c r="EF41" s="1">
        <v>1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1</v>
      </c>
      <c r="FB41" s="1">
        <v>1</v>
      </c>
      <c r="FC41" s="1">
        <v>0</v>
      </c>
      <c r="FD41" s="1">
        <v>1</v>
      </c>
      <c r="FE41" s="1">
        <v>1</v>
      </c>
      <c r="FF41" s="1">
        <v>1</v>
      </c>
      <c r="FG41" s="1">
        <v>1</v>
      </c>
      <c r="FH41" s="1">
        <v>1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1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1</v>
      </c>
      <c r="GH41" s="1">
        <v>0</v>
      </c>
      <c r="GI41" s="1">
        <v>0</v>
      </c>
      <c r="GJ41" s="1">
        <v>1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</row>
    <row r="42" spans="1:214" x14ac:dyDescent="0.2">
      <c r="A42" s="1" t="s">
        <v>349</v>
      </c>
      <c r="B42" s="1" t="s">
        <v>349</v>
      </c>
      <c r="D42" s="1" t="s">
        <v>350</v>
      </c>
      <c r="E42" s="1" t="s">
        <v>215</v>
      </c>
      <c r="F42" s="1">
        <v>0</v>
      </c>
      <c r="G42" s="1" t="s">
        <v>238</v>
      </c>
      <c r="H42" s="1" t="s">
        <v>342</v>
      </c>
      <c r="I42" s="1" t="s">
        <v>343</v>
      </c>
      <c r="J42" s="1">
        <v>192</v>
      </c>
      <c r="K42" s="1" t="s">
        <v>24</v>
      </c>
      <c r="L42" s="1" t="s">
        <v>351</v>
      </c>
      <c r="M42" s="1" t="s">
        <v>16</v>
      </c>
      <c r="N42" s="1">
        <f>IF(Regions_master[[#This Row],[Forecaster]]=Regions_master[[#Headers],[Grigor]],1,0)</f>
        <v>0</v>
      </c>
      <c r="O42" s="1">
        <f>IF(Regions_master[[#This Row],[Forecaster]]=Regions_master[[#Headers],[Ingo]],1,0)</f>
        <v>0</v>
      </c>
      <c r="P42" s="1">
        <f>IF(Regions_master[[#This Row],[Forecaster]]=Regions_master[[#Headers],[Danyira]],1,0)</f>
        <v>0</v>
      </c>
      <c r="Q42" s="1">
        <f>IF(Regions_master[[#This Row],[Forecaster]]=Regions_master[[#Headers],[Sebastian]],1,0)</f>
        <v>1</v>
      </c>
      <c r="R42" s="1">
        <f>IF(Regions_master[[#This Row],[Forecaster]]=Regions_master[[#Headers],[Yasu]],1,0)</f>
        <v>0</v>
      </c>
      <c r="S42" s="1">
        <f>IF(Regions_master[[#This Row],[Forecaster]]=Regions_master[[#Headers],[Zhenqian]],1,0)</f>
        <v>0</v>
      </c>
      <c r="T42" s="1">
        <f>IF(Regions_master[[#This Row],[Forecaster]]=Regions_master[[#Headers],[Berna]],1,0)</f>
        <v>0</v>
      </c>
      <c r="U42" s="1">
        <f>IF(Regions_master[[#This Row],[Forecaster]]=Regions_master[[#Headers],[Julian]],1,0)</f>
        <v>0</v>
      </c>
      <c r="V42" s="1">
        <f>IF(Regions_master[[#This Row],[Forecaster]]=Regions_master[[#Headers],[Katarzyna]],1,0)</f>
        <v>0</v>
      </c>
      <c r="W42" s="1">
        <v>1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1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1</v>
      </c>
      <c r="CR42" s="1">
        <v>0</v>
      </c>
      <c r="CS42" s="1">
        <v>0</v>
      </c>
      <c r="CT42" s="1">
        <v>0</v>
      </c>
      <c r="CU42" s="1">
        <v>1</v>
      </c>
      <c r="CV42" s="1">
        <v>1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1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1</v>
      </c>
      <c r="DQ42" s="1">
        <v>1</v>
      </c>
      <c r="DR42" s="1">
        <v>1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1</v>
      </c>
      <c r="EE42" s="1">
        <v>0</v>
      </c>
      <c r="EF42" s="1">
        <v>0</v>
      </c>
      <c r="EG42" s="1">
        <v>1</v>
      </c>
      <c r="EH42" s="1">
        <v>0</v>
      </c>
      <c r="EI42" s="1">
        <v>1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1</v>
      </c>
      <c r="EP42" s="1">
        <v>0</v>
      </c>
      <c r="EQ42" s="1">
        <v>0</v>
      </c>
      <c r="ER42" s="1">
        <v>0</v>
      </c>
      <c r="ES42" s="1">
        <v>1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1</v>
      </c>
      <c r="FB42" s="1">
        <v>0</v>
      </c>
      <c r="FC42" s="1">
        <v>0</v>
      </c>
      <c r="FD42" s="1">
        <v>1</v>
      </c>
      <c r="FE42" s="1">
        <v>1</v>
      </c>
      <c r="FF42" s="1">
        <v>1</v>
      </c>
      <c r="FG42" s="1">
        <v>1</v>
      </c>
      <c r="FH42" s="1">
        <v>1</v>
      </c>
      <c r="FI42" s="1">
        <v>1</v>
      </c>
      <c r="FJ42" s="1">
        <v>1</v>
      </c>
      <c r="FK42" s="1">
        <v>1</v>
      </c>
      <c r="FL42" s="1">
        <v>1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1</v>
      </c>
      <c r="FW42" s="1">
        <v>0</v>
      </c>
      <c r="FX42" s="1">
        <v>0</v>
      </c>
      <c r="FY42" s="1">
        <v>0</v>
      </c>
      <c r="FZ42" s="1">
        <v>0</v>
      </c>
      <c r="GA42" s="1">
        <v>1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1</v>
      </c>
      <c r="GH42" s="1">
        <v>1</v>
      </c>
      <c r="GI42" s="1">
        <v>1</v>
      </c>
      <c r="GJ42" s="1">
        <v>0</v>
      </c>
      <c r="GK42" s="1">
        <v>0</v>
      </c>
      <c r="GL42" s="1">
        <v>0</v>
      </c>
      <c r="GM42" s="1">
        <v>0</v>
      </c>
      <c r="GN42" s="1">
        <v>1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1</v>
      </c>
      <c r="GU42" s="1">
        <v>1</v>
      </c>
      <c r="GV42" s="1">
        <v>1</v>
      </c>
      <c r="GW42" s="1">
        <v>1</v>
      </c>
      <c r="GX42" s="1">
        <v>0</v>
      </c>
      <c r="GY42" s="1">
        <v>0</v>
      </c>
      <c r="GZ42" s="1">
        <v>0</v>
      </c>
      <c r="HA42" s="1">
        <v>1</v>
      </c>
      <c r="HB42" s="1">
        <v>1</v>
      </c>
      <c r="HC42" s="1">
        <v>1</v>
      </c>
      <c r="HD42" s="1">
        <v>1</v>
      </c>
      <c r="HE42" s="1">
        <v>1</v>
      </c>
      <c r="HF42" s="1">
        <v>0</v>
      </c>
    </row>
    <row r="43" spans="1:214" x14ac:dyDescent="0.2">
      <c r="A43" s="1" t="s">
        <v>352</v>
      </c>
      <c r="B43" s="1" t="s">
        <v>352</v>
      </c>
      <c r="D43" s="1" t="s">
        <v>353</v>
      </c>
      <c r="E43" s="1" t="s">
        <v>215</v>
      </c>
      <c r="F43" s="1">
        <v>0</v>
      </c>
      <c r="G43" s="1" t="s">
        <v>251</v>
      </c>
      <c r="H43" s="1" t="s">
        <v>252</v>
      </c>
      <c r="I43" s="1" t="s">
        <v>253</v>
      </c>
      <c r="J43" s="1">
        <v>196</v>
      </c>
      <c r="K43" s="1" t="s">
        <v>22</v>
      </c>
      <c r="L43" s="1" t="s">
        <v>245</v>
      </c>
      <c r="M43" s="1" t="s">
        <v>14</v>
      </c>
      <c r="N43" s="1">
        <f>IF(Regions_master[[#This Row],[Forecaster]]=Regions_master[[#Headers],[Grigor]],1,0)</f>
        <v>0</v>
      </c>
      <c r="O43" s="1">
        <f>IF(Regions_master[[#This Row],[Forecaster]]=Regions_master[[#Headers],[Ingo]],1,0)</f>
        <v>1</v>
      </c>
      <c r="P43" s="1">
        <f>IF(Regions_master[[#This Row],[Forecaster]]=Regions_master[[#Headers],[Danyira]],1,0)</f>
        <v>0</v>
      </c>
      <c r="Q43" s="1">
        <f>IF(Regions_master[[#This Row],[Forecaster]]=Regions_master[[#Headers],[Sebastian]],1,0)</f>
        <v>0</v>
      </c>
      <c r="R43" s="1">
        <f>IF(Regions_master[[#This Row],[Forecaster]]=Regions_master[[#Headers],[Yasu]],1,0)</f>
        <v>0</v>
      </c>
      <c r="S43" s="1">
        <f>IF(Regions_master[[#This Row],[Forecaster]]=Regions_master[[#Headers],[Zhenqian]],1,0)</f>
        <v>0</v>
      </c>
      <c r="T43" s="1">
        <f>IF(Regions_master[[#This Row],[Forecaster]]=Regions_master[[#Headers],[Berna]],1,0)</f>
        <v>0</v>
      </c>
      <c r="U43" s="1">
        <f>IF(Regions_master[[#This Row],[Forecaster]]=Regions_master[[#Headers],[Julian]],1,0)</f>
        <v>0</v>
      </c>
      <c r="V43" s="1">
        <f>IF(Regions_master[[#This Row],[Forecaster]]=Regions_master[[#Headers],[Katarzyna]],1,0)</f>
        <v>0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1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1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1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1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</v>
      </c>
      <c r="ED43" s="1">
        <v>0</v>
      </c>
      <c r="EE43" s="1">
        <v>0</v>
      </c>
      <c r="EF43" s="1">
        <v>1</v>
      </c>
      <c r="EG43" s="1">
        <v>0</v>
      </c>
      <c r="EH43" s="1">
        <v>1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1</v>
      </c>
      <c r="FC43" s="1">
        <v>0</v>
      </c>
      <c r="FD43" s="1">
        <v>1</v>
      </c>
      <c r="FE43" s="1">
        <v>1</v>
      </c>
      <c r="FF43" s="1">
        <v>1</v>
      </c>
      <c r="FG43" s="1">
        <v>1</v>
      </c>
      <c r="FH43" s="1">
        <v>1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1</v>
      </c>
      <c r="GE43" s="1">
        <v>0</v>
      </c>
      <c r="GF43" s="1">
        <v>1</v>
      </c>
      <c r="GG43" s="1">
        <v>0</v>
      </c>
      <c r="GH43" s="1">
        <v>0</v>
      </c>
      <c r="GI43" s="1">
        <v>0</v>
      </c>
      <c r="GJ43" s="1">
        <v>1</v>
      </c>
      <c r="GK43" s="1">
        <v>1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</row>
    <row r="44" spans="1:214" x14ac:dyDescent="0.2">
      <c r="A44" s="1" t="s">
        <v>354</v>
      </c>
      <c r="B44" s="1" t="s">
        <v>355</v>
      </c>
      <c r="D44" s="1" t="s">
        <v>356</v>
      </c>
      <c r="E44" s="1" t="s">
        <v>215</v>
      </c>
      <c r="F44" s="1">
        <v>0</v>
      </c>
      <c r="G44" s="1" t="s">
        <v>251</v>
      </c>
      <c r="H44" s="1" t="s">
        <v>252</v>
      </c>
      <c r="I44" s="1" t="s">
        <v>253</v>
      </c>
      <c r="J44" s="1">
        <v>203</v>
      </c>
      <c r="K44" s="1" t="s">
        <v>22</v>
      </c>
      <c r="L44" s="1" t="s">
        <v>254</v>
      </c>
      <c r="M44" s="1" t="s">
        <v>13</v>
      </c>
      <c r="N44" s="1">
        <f>IF(Regions_master[[#This Row],[Forecaster]]=Regions_master[[#Headers],[Grigor]],1,0)</f>
        <v>1</v>
      </c>
      <c r="O44" s="1">
        <f>IF(Regions_master[[#This Row],[Forecaster]]=Regions_master[[#Headers],[Ingo]],1,0)</f>
        <v>0</v>
      </c>
      <c r="P44" s="1">
        <f>IF(Regions_master[[#This Row],[Forecaster]]=Regions_master[[#Headers],[Danyira]],1,0)</f>
        <v>0</v>
      </c>
      <c r="Q44" s="1">
        <f>IF(Regions_master[[#This Row],[Forecaster]]=Regions_master[[#Headers],[Sebastian]],1,0)</f>
        <v>0</v>
      </c>
      <c r="R44" s="1">
        <f>IF(Regions_master[[#This Row],[Forecaster]]=Regions_master[[#Headers],[Yasu]],1,0)</f>
        <v>0</v>
      </c>
      <c r="S44" s="1">
        <f>IF(Regions_master[[#This Row],[Forecaster]]=Regions_master[[#Headers],[Zhenqian]],1,0)</f>
        <v>0</v>
      </c>
      <c r="T44" s="1">
        <f>IF(Regions_master[[#This Row],[Forecaster]]=Regions_master[[#Headers],[Berna]],1,0)</f>
        <v>0</v>
      </c>
      <c r="U44" s="1">
        <f>IF(Regions_master[[#This Row],[Forecaster]]=Regions_master[[#Headers],[Julian]],1,0)</f>
        <v>0</v>
      </c>
      <c r="V44" s="1">
        <f>IF(Regions_master[[#This Row],[Forecaster]]=Regions_master[[#Headers],[Katarzyna]],1,0)</f>
        <v>0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1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1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1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1</v>
      </c>
      <c r="ED44" s="1">
        <v>0</v>
      </c>
      <c r="EE44" s="1">
        <v>0</v>
      </c>
      <c r="EF44" s="1">
        <v>1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1</v>
      </c>
      <c r="FB44" s="1">
        <v>1</v>
      </c>
      <c r="FC44" s="1">
        <v>0</v>
      </c>
      <c r="FD44" s="1">
        <v>1</v>
      </c>
      <c r="FE44" s="1">
        <v>1</v>
      </c>
      <c r="FF44" s="1">
        <v>1</v>
      </c>
      <c r="FG44" s="1">
        <v>1</v>
      </c>
      <c r="FH44" s="1">
        <v>1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1</v>
      </c>
      <c r="FO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1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</row>
    <row r="45" spans="1:214" x14ac:dyDescent="0.2">
      <c r="A45" s="1" t="s">
        <v>357</v>
      </c>
      <c r="B45" s="1" t="s">
        <v>358</v>
      </c>
      <c r="D45" s="1" t="s">
        <v>359</v>
      </c>
      <c r="E45" s="1" t="s">
        <v>215</v>
      </c>
      <c r="F45" s="1">
        <v>0</v>
      </c>
      <c r="G45" s="1" t="s">
        <v>216</v>
      </c>
      <c r="H45" s="1" t="s">
        <v>296</v>
      </c>
      <c r="I45" s="1" t="s">
        <v>297</v>
      </c>
      <c r="J45" s="1">
        <v>408</v>
      </c>
      <c r="K45" s="1" t="s">
        <v>24</v>
      </c>
      <c r="L45" s="1" t="s">
        <v>235</v>
      </c>
      <c r="M45" s="1" t="s">
        <v>299</v>
      </c>
      <c r="N45" s="1">
        <f>IF(Regions_master[[#This Row],[Forecaster]]=Regions_master[[#Headers],[Grigor]],1,0)</f>
        <v>0</v>
      </c>
      <c r="O45" s="1">
        <f>IF(Regions_master[[#This Row],[Forecaster]]=Regions_master[[#Headers],[Ingo]],1,0)</f>
        <v>0</v>
      </c>
      <c r="P45" s="1">
        <f>IF(Regions_master[[#This Row],[Forecaster]]=Regions_master[[#Headers],[Danyira]],1,0)</f>
        <v>0</v>
      </c>
      <c r="Q45" s="1">
        <f>IF(Regions_master[[#This Row],[Forecaster]]=Regions_master[[#Headers],[Sebastian]],1,0)</f>
        <v>0</v>
      </c>
      <c r="R45" s="1">
        <f>IF(Regions_master[[#This Row],[Forecaster]]=Regions_master[[#Headers],[Yasu]],1,0)</f>
        <v>0</v>
      </c>
      <c r="S45" s="1">
        <f>IF(Regions_master[[#This Row],[Forecaster]]=Regions_master[[#Headers],[Zhenqian]],1,0)</f>
        <v>1</v>
      </c>
      <c r="T45" s="1">
        <f>IF(Regions_master[[#This Row],[Forecaster]]=Regions_master[[#Headers],[Berna]],1,0)</f>
        <v>0</v>
      </c>
      <c r="U45" s="1">
        <f>IF(Regions_master[[#This Row],[Forecaster]]=Regions_master[[#Headers],[Julian]],1,0)</f>
        <v>0</v>
      </c>
      <c r="V45" s="1">
        <f>IF(Regions_master[[#This Row],[Forecaster]]=Regions_master[[#Headers],[Katarzyna]],1,0)</f>
        <v>0</v>
      </c>
      <c r="W45" s="1">
        <v>1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</v>
      </c>
      <c r="AU45" s="1">
        <v>1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1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1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1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1</v>
      </c>
      <c r="DD45" s="1">
        <v>0</v>
      </c>
      <c r="DE45" s="1">
        <v>1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1</v>
      </c>
      <c r="DM45" s="1">
        <v>0</v>
      </c>
      <c r="DN45" s="1">
        <v>0</v>
      </c>
      <c r="DO45" s="1">
        <v>0</v>
      </c>
      <c r="DP45" s="1">
        <v>1</v>
      </c>
      <c r="DQ45" s="1">
        <v>1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1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1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1</v>
      </c>
      <c r="FE45" s="1">
        <v>1</v>
      </c>
      <c r="FF45" s="1">
        <v>1</v>
      </c>
      <c r="FG45" s="1">
        <v>1</v>
      </c>
      <c r="FH45" s="1">
        <v>1</v>
      </c>
      <c r="FI45" s="1">
        <v>1</v>
      </c>
      <c r="FJ45" s="1">
        <v>1</v>
      </c>
      <c r="FK45" s="1">
        <v>1</v>
      </c>
      <c r="FL45" s="1">
        <v>1</v>
      </c>
      <c r="FM45" s="1">
        <v>0</v>
      </c>
      <c r="FN45" s="1">
        <v>0</v>
      </c>
      <c r="FO45" s="1">
        <v>0</v>
      </c>
      <c r="FP45" s="1">
        <v>0</v>
      </c>
      <c r="FQ45" s="1">
        <v>1</v>
      </c>
      <c r="FR45" s="1">
        <v>0</v>
      </c>
      <c r="FS45" s="1">
        <v>1</v>
      </c>
      <c r="FT45" s="1">
        <v>1</v>
      </c>
      <c r="FU45" s="1">
        <v>0</v>
      </c>
      <c r="FV45" s="1">
        <v>0</v>
      </c>
      <c r="FW45" s="1">
        <v>0</v>
      </c>
      <c r="FX45" s="1">
        <v>0</v>
      </c>
      <c r="FY45" s="1">
        <v>1</v>
      </c>
      <c r="FZ45" s="1">
        <v>0</v>
      </c>
      <c r="GA45" s="1">
        <v>0</v>
      </c>
      <c r="GB45" s="1">
        <v>0</v>
      </c>
      <c r="GC45" s="1">
        <v>0</v>
      </c>
      <c r="GD45" s="1">
        <v>1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1</v>
      </c>
      <c r="GN45" s="1">
        <v>1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</row>
    <row r="46" spans="1:214" x14ac:dyDescent="0.2">
      <c r="A46" s="1" t="s">
        <v>360</v>
      </c>
      <c r="B46" s="1" t="s">
        <v>361</v>
      </c>
      <c r="D46" s="1" t="s">
        <v>310</v>
      </c>
      <c r="E46" s="1" t="s">
        <v>215</v>
      </c>
      <c r="F46" s="1">
        <v>0</v>
      </c>
      <c r="G46" s="1" t="s">
        <v>227</v>
      </c>
      <c r="H46" s="1" t="s">
        <v>308</v>
      </c>
      <c r="I46" s="1" t="s">
        <v>309</v>
      </c>
      <c r="J46" s="1">
        <v>180</v>
      </c>
      <c r="K46" s="1" t="s">
        <v>24</v>
      </c>
      <c r="L46" s="1" t="s">
        <v>235</v>
      </c>
      <c r="M46" s="1" t="s">
        <v>20</v>
      </c>
      <c r="N46" s="1">
        <f>IF(Regions_master[[#This Row],[Forecaster]]=Regions_master[[#Headers],[Grigor]],1,0)</f>
        <v>0</v>
      </c>
      <c r="O46" s="1">
        <f>IF(Regions_master[[#This Row],[Forecaster]]=Regions_master[[#Headers],[Ingo]],1,0)</f>
        <v>0</v>
      </c>
      <c r="P46" s="1">
        <f>IF(Regions_master[[#This Row],[Forecaster]]=Regions_master[[#Headers],[Danyira]],1,0)</f>
        <v>0</v>
      </c>
      <c r="Q46" s="1">
        <f>IF(Regions_master[[#This Row],[Forecaster]]=Regions_master[[#Headers],[Sebastian]],1,0)</f>
        <v>0</v>
      </c>
      <c r="R46" s="1">
        <f>IF(Regions_master[[#This Row],[Forecaster]]=Regions_master[[#Headers],[Yasu]],1,0)</f>
        <v>0</v>
      </c>
      <c r="S46" s="1">
        <f>IF(Regions_master[[#This Row],[Forecaster]]=Regions_master[[#Headers],[Zhenqian]],1,0)</f>
        <v>0</v>
      </c>
      <c r="T46" s="1">
        <f>IF(Regions_master[[#This Row],[Forecaster]]=Regions_master[[#Headers],[Berna]],1,0)</f>
        <v>0</v>
      </c>
      <c r="U46" s="1">
        <f>IF(Regions_master[[#This Row],[Forecaster]]=Regions_master[[#Headers],[Julian]],1,0)</f>
        <v>0</v>
      </c>
      <c r="V46" s="1">
        <f>IF(Regions_master[[#This Row],[Forecaster]]=Regions_master[[#Headers],[Katarzyna]],1,0)</f>
        <v>1</v>
      </c>
      <c r="W46" s="1">
        <v>1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1">
        <v>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1</v>
      </c>
      <c r="BI46" s="1">
        <v>1</v>
      </c>
      <c r="BJ46" s="1">
        <v>1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1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1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1</v>
      </c>
      <c r="CV46" s="1">
        <v>1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1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1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1</v>
      </c>
      <c r="DQ46" s="1">
        <v>1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1</v>
      </c>
      <c r="DY46" s="1">
        <v>0</v>
      </c>
      <c r="DZ46" s="1">
        <v>1</v>
      </c>
      <c r="EA46" s="1">
        <v>1</v>
      </c>
      <c r="EB46" s="1">
        <v>0</v>
      </c>
      <c r="EC46" s="1">
        <v>1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1</v>
      </c>
      <c r="EK46" s="1">
        <v>1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1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1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1</v>
      </c>
      <c r="FE46" s="1">
        <v>1</v>
      </c>
      <c r="FF46" s="1">
        <v>1</v>
      </c>
      <c r="FG46" s="1">
        <v>1</v>
      </c>
      <c r="FH46" s="1">
        <v>1</v>
      </c>
      <c r="FI46" s="1">
        <v>1</v>
      </c>
      <c r="FJ46" s="1">
        <v>1</v>
      </c>
      <c r="FK46" s="1">
        <v>1</v>
      </c>
      <c r="FL46" s="1">
        <v>1</v>
      </c>
      <c r="FM46" s="1">
        <v>0</v>
      </c>
      <c r="FN46" s="1">
        <v>0</v>
      </c>
      <c r="FO46" s="1">
        <v>0</v>
      </c>
      <c r="FP46" s="1">
        <v>1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1</v>
      </c>
      <c r="FY46" s="1">
        <v>0</v>
      </c>
      <c r="FZ46" s="1">
        <v>0</v>
      </c>
      <c r="GA46" s="1">
        <v>0</v>
      </c>
      <c r="GB46" s="1">
        <v>0</v>
      </c>
      <c r="GC46" s="1">
        <v>1</v>
      </c>
      <c r="GD46" s="1">
        <v>0</v>
      </c>
      <c r="GE46" s="1">
        <v>0</v>
      </c>
      <c r="GF46" s="1">
        <v>0</v>
      </c>
      <c r="GG46" s="1">
        <v>0</v>
      </c>
      <c r="GH46" s="1">
        <v>1</v>
      </c>
      <c r="GI46" s="1">
        <v>0</v>
      </c>
      <c r="GJ46" s="1">
        <v>0</v>
      </c>
      <c r="GK46" s="1">
        <v>0</v>
      </c>
      <c r="GL46" s="1">
        <v>0</v>
      </c>
      <c r="GM46" s="1">
        <v>1</v>
      </c>
      <c r="GN46" s="1">
        <v>1</v>
      </c>
      <c r="GO46" s="1">
        <v>1</v>
      </c>
      <c r="GP46" s="1">
        <v>0</v>
      </c>
      <c r="GQ46" s="1">
        <v>1</v>
      </c>
      <c r="GR46" s="1">
        <v>0</v>
      </c>
      <c r="GS46" s="1">
        <v>1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</row>
    <row r="47" spans="1:214" x14ac:dyDescent="0.2">
      <c r="A47" s="1" t="s">
        <v>362</v>
      </c>
      <c r="B47" s="1" t="s">
        <v>362</v>
      </c>
      <c r="D47" s="1" t="s">
        <v>363</v>
      </c>
      <c r="E47" s="1" t="s">
        <v>215</v>
      </c>
      <c r="F47" s="1">
        <v>0</v>
      </c>
      <c r="G47" s="1" t="s">
        <v>251</v>
      </c>
      <c r="H47" s="1" t="s">
        <v>252</v>
      </c>
      <c r="I47" s="1" t="s">
        <v>253</v>
      </c>
      <c r="J47" s="1">
        <v>208</v>
      </c>
      <c r="K47" s="1" t="s">
        <v>22</v>
      </c>
      <c r="L47" s="1" t="s">
        <v>254</v>
      </c>
      <c r="M47" s="1" t="s">
        <v>14</v>
      </c>
      <c r="N47" s="1">
        <f>IF(Regions_master[[#This Row],[Forecaster]]=Regions_master[[#Headers],[Grigor]],1,0)</f>
        <v>0</v>
      </c>
      <c r="O47" s="1">
        <f>IF(Regions_master[[#This Row],[Forecaster]]=Regions_master[[#Headers],[Ingo]],1,0)</f>
        <v>1</v>
      </c>
      <c r="P47" s="1">
        <f>IF(Regions_master[[#This Row],[Forecaster]]=Regions_master[[#Headers],[Danyira]],1,0)</f>
        <v>0</v>
      </c>
      <c r="Q47" s="1">
        <f>IF(Regions_master[[#This Row],[Forecaster]]=Regions_master[[#Headers],[Sebastian]],1,0)</f>
        <v>0</v>
      </c>
      <c r="R47" s="1">
        <f>IF(Regions_master[[#This Row],[Forecaster]]=Regions_master[[#Headers],[Yasu]],1,0)</f>
        <v>0</v>
      </c>
      <c r="S47" s="1">
        <f>IF(Regions_master[[#This Row],[Forecaster]]=Regions_master[[#Headers],[Zhenqian]],1,0)</f>
        <v>0</v>
      </c>
      <c r="T47" s="1">
        <f>IF(Regions_master[[#This Row],[Forecaster]]=Regions_master[[#Headers],[Berna]],1,0)</f>
        <v>0</v>
      </c>
      <c r="U47" s="1">
        <f>IF(Regions_master[[#This Row],[Forecaster]]=Regions_master[[#Headers],[Julian]],1,0)</f>
        <v>0</v>
      </c>
      <c r="V47" s="1">
        <f>IF(Regions_master[[#This Row],[Forecaster]]=Regions_master[[#Headers],[Katarzyna]],1,0)</f>
        <v>0</v>
      </c>
      <c r="W47" s="1">
        <v>1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1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1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1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1</v>
      </c>
      <c r="ED47" s="1">
        <v>0</v>
      </c>
      <c r="EE47" s="1">
        <v>0</v>
      </c>
      <c r="EF47" s="1">
        <v>1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1</v>
      </c>
      <c r="FC47" s="1">
        <v>0</v>
      </c>
      <c r="FD47" s="1">
        <v>1</v>
      </c>
      <c r="FE47" s="1">
        <v>1</v>
      </c>
      <c r="FF47" s="1">
        <v>1</v>
      </c>
      <c r="FG47" s="1">
        <v>1</v>
      </c>
      <c r="FH47" s="1">
        <v>1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1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</row>
    <row r="48" spans="1:214" x14ac:dyDescent="0.2">
      <c r="A48" s="1" t="s">
        <v>364</v>
      </c>
      <c r="B48" s="1" t="s">
        <v>364</v>
      </c>
      <c r="D48" s="1" t="s">
        <v>365</v>
      </c>
      <c r="E48" s="1" t="s">
        <v>215</v>
      </c>
      <c r="F48" s="1">
        <v>0</v>
      </c>
      <c r="G48" s="1" t="s">
        <v>227</v>
      </c>
      <c r="H48" s="1" t="s">
        <v>308</v>
      </c>
      <c r="I48" s="1" t="s">
        <v>309</v>
      </c>
      <c r="J48" s="1">
        <v>262</v>
      </c>
      <c r="K48" s="1" t="s">
        <v>24</v>
      </c>
      <c r="L48" s="1" t="s">
        <v>366</v>
      </c>
      <c r="M48" s="1" t="s">
        <v>19</v>
      </c>
      <c r="N48" s="1">
        <f>IF(Regions_master[[#This Row],[Forecaster]]=Regions_master[[#Headers],[Grigor]],1,0)</f>
        <v>0</v>
      </c>
      <c r="O48" s="1">
        <f>IF(Regions_master[[#This Row],[Forecaster]]=Regions_master[[#Headers],[Ingo]],1,0)</f>
        <v>0</v>
      </c>
      <c r="P48" s="1">
        <f>IF(Regions_master[[#This Row],[Forecaster]]=Regions_master[[#Headers],[Danyira]],1,0)</f>
        <v>0</v>
      </c>
      <c r="Q48" s="1">
        <f>IF(Regions_master[[#This Row],[Forecaster]]=Regions_master[[#Headers],[Sebastian]],1,0)</f>
        <v>0</v>
      </c>
      <c r="R48" s="1">
        <f>IF(Regions_master[[#This Row],[Forecaster]]=Regions_master[[#Headers],[Yasu]],1,0)</f>
        <v>0</v>
      </c>
      <c r="S48" s="1">
        <f>IF(Regions_master[[#This Row],[Forecaster]]=Regions_master[[#Headers],[Zhenqian]],1,0)</f>
        <v>0</v>
      </c>
      <c r="T48" s="1">
        <f>IF(Regions_master[[#This Row],[Forecaster]]=Regions_master[[#Headers],[Berna]],1,0)</f>
        <v>0</v>
      </c>
      <c r="U48" s="1">
        <f>IF(Regions_master[[#This Row],[Forecaster]]=Regions_master[[#Headers],[Julian]],1,0)</f>
        <v>1</v>
      </c>
      <c r="V48" s="1">
        <f>IF(Regions_master[[#This Row],[Forecaster]]=Regions_master[[#Headers],[Katarzyna]],1,0)</f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">
        <v>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1</v>
      </c>
      <c r="BO48" s="1">
        <v>0</v>
      </c>
      <c r="BP48" s="1">
        <v>0</v>
      </c>
      <c r="BQ48" s="1">
        <v>1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1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1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1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1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1</v>
      </c>
      <c r="DQ48" s="1">
        <v>1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1</v>
      </c>
      <c r="EE48" s="1">
        <v>0</v>
      </c>
      <c r="EF48" s="1">
        <v>1</v>
      </c>
      <c r="EG48" s="1">
        <v>0</v>
      </c>
      <c r="EH48" s="1">
        <v>0</v>
      </c>
      <c r="EI48" s="1">
        <v>0</v>
      </c>
      <c r="EJ48" s="1">
        <v>1</v>
      </c>
      <c r="EK48" s="1">
        <v>1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1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1</v>
      </c>
      <c r="FB48" s="1">
        <v>1</v>
      </c>
      <c r="FC48" s="1">
        <v>0</v>
      </c>
      <c r="FD48" s="1">
        <v>1</v>
      </c>
      <c r="FE48" s="1">
        <v>1</v>
      </c>
      <c r="FF48" s="1">
        <v>1</v>
      </c>
      <c r="FG48" s="1">
        <v>1</v>
      </c>
      <c r="FH48" s="1">
        <v>1</v>
      </c>
      <c r="FI48" s="1">
        <v>1</v>
      </c>
      <c r="FJ48" s="1">
        <v>1</v>
      </c>
      <c r="FK48" s="1">
        <v>1</v>
      </c>
      <c r="FL48" s="1">
        <v>1</v>
      </c>
      <c r="FM48" s="1">
        <v>0</v>
      </c>
      <c r="FN48" s="1">
        <v>0</v>
      </c>
      <c r="FO48" s="1">
        <v>0</v>
      </c>
      <c r="FP48" s="1">
        <v>1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1</v>
      </c>
      <c r="FY48" s="1">
        <v>0</v>
      </c>
      <c r="FZ48" s="1">
        <v>0</v>
      </c>
      <c r="GA48" s="1">
        <v>0</v>
      </c>
      <c r="GB48" s="1">
        <v>0</v>
      </c>
      <c r="GC48" s="1">
        <v>1</v>
      </c>
      <c r="GD48" s="1">
        <v>0</v>
      </c>
      <c r="GE48" s="1">
        <v>0</v>
      </c>
      <c r="GF48" s="1">
        <v>0</v>
      </c>
      <c r="GG48" s="1">
        <v>1</v>
      </c>
      <c r="GH48" s="1">
        <v>0</v>
      </c>
      <c r="GI48" s="1">
        <v>0</v>
      </c>
      <c r="GJ48" s="1">
        <v>1</v>
      </c>
      <c r="GK48" s="1">
        <v>0</v>
      </c>
      <c r="GL48" s="1">
        <v>1</v>
      </c>
      <c r="GM48" s="1">
        <v>0</v>
      </c>
      <c r="GN48" s="1">
        <v>1</v>
      </c>
      <c r="GO48" s="1">
        <v>1</v>
      </c>
      <c r="GP48" s="1">
        <v>1</v>
      </c>
      <c r="GQ48" s="1">
        <v>1</v>
      </c>
      <c r="GR48" s="1">
        <v>0</v>
      </c>
      <c r="GS48" s="1">
        <v>0</v>
      </c>
      <c r="GT48" s="1">
        <v>1</v>
      </c>
      <c r="GU48" s="1">
        <v>1</v>
      </c>
      <c r="GV48" s="1">
        <v>1</v>
      </c>
      <c r="GW48" s="1">
        <v>1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1</v>
      </c>
      <c r="HD48" s="1">
        <v>1</v>
      </c>
      <c r="HE48" s="1">
        <v>0</v>
      </c>
      <c r="HF48" s="1">
        <v>0</v>
      </c>
    </row>
    <row r="49" spans="1:214" x14ac:dyDescent="0.2">
      <c r="A49" s="1" t="s">
        <v>367</v>
      </c>
      <c r="B49" s="1" t="s">
        <v>368</v>
      </c>
      <c r="D49" s="1" t="s">
        <v>369</v>
      </c>
      <c r="E49" s="1" t="s">
        <v>215</v>
      </c>
      <c r="F49" s="1">
        <v>0</v>
      </c>
      <c r="G49" s="1" t="s">
        <v>238</v>
      </c>
      <c r="H49" s="1" t="s">
        <v>342</v>
      </c>
      <c r="I49" s="1" t="s">
        <v>343</v>
      </c>
      <c r="J49" s="1">
        <v>214</v>
      </c>
      <c r="K49" s="1" t="s">
        <v>24</v>
      </c>
      <c r="L49" s="1" t="s">
        <v>261</v>
      </c>
      <c r="M49" s="1" t="s">
        <v>16</v>
      </c>
      <c r="N49" s="1">
        <f>IF(Regions_master[[#This Row],[Forecaster]]=Regions_master[[#Headers],[Grigor]],1,0)</f>
        <v>0</v>
      </c>
      <c r="O49" s="1">
        <f>IF(Regions_master[[#This Row],[Forecaster]]=Regions_master[[#Headers],[Ingo]],1,0)</f>
        <v>0</v>
      </c>
      <c r="P49" s="1">
        <f>IF(Regions_master[[#This Row],[Forecaster]]=Regions_master[[#Headers],[Danyira]],1,0)</f>
        <v>0</v>
      </c>
      <c r="Q49" s="1">
        <f>IF(Regions_master[[#This Row],[Forecaster]]=Regions_master[[#Headers],[Sebastian]],1,0)</f>
        <v>1</v>
      </c>
      <c r="R49" s="1">
        <f>IF(Regions_master[[#This Row],[Forecaster]]=Regions_master[[#Headers],[Yasu]],1,0)</f>
        <v>0</v>
      </c>
      <c r="S49" s="1">
        <f>IF(Regions_master[[#This Row],[Forecaster]]=Regions_master[[#Headers],[Zhenqian]],1,0)</f>
        <v>0</v>
      </c>
      <c r="T49" s="1">
        <f>IF(Regions_master[[#This Row],[Forecaster]]=Regions_master[[#Headers],[Berna]],1,0)</f>
        <v>0</v>
      </c>
      <c r="U49" s="1">
        <f>IF(Regions_master[[#This Row],[Forecaster]]=Regions_master[[#Headers],[Julian]],1,0)</f>
        <v>0</v>
      </c>
      <c r="V49" s="1">
        <f>IF(Regions_master[[#This Row],[Forecaster]]=Regions_master[[#Headers],[Katarzyna]],1,0)</f>
        <v>0</v>
      </c>
      <c r="W49" s="1">
        <v>1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s="1">
        <v>1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1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1</v>
      </c>
      <c r="DQ49" s="1">
        <v>1</v>
      </c>
      <c r="DR49" s="1">
        <v>1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1</v>
      </c>
      <c r="EE49" s="1">
        <v>1</v>
      </c>
      <c r="EF49" s="1">
        <v>1</v>
      </c>
      <c r="EG49" s="1">
        <v>0</v>
      </c>
      <c r="EH49" s="1">
        <v>0</v>
      </c>
      <c r="EI49" s="1">
        <v>1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1</v>
      </c>
      <c r="EP49" s="1">
        <v>0</v>
      </c>
      <c r="EQ49" s="1">
        <v>0</v>
      </c>
      <c r="ER49" s="1">
        <v>0</v>
      </c>
      <c r="ES49" s="1">
        <v>1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1</v>
      </c>
      <c r="FB49" s="1">
        <v>1</v>
      </c>
      <c r="FC49" s="1">
        <v>0</v>
      </c>
      <c r="FD49" s="1">
        <v>1</v>
      </c>
      <c r="FE49" s="1">
        <v>1</v>
      </c>
      <c r="FF49" s="1">
        <v>1</v>
      </c>
      <c r="FG49" s="1">
        <v>1</v>
      </c>
      <c r="FH49" s="1">
        <v>1</v>
      </c>
      <c r="FI49" s="1">
        <v>1</v>
      </c>
      <c r="FJ49" s="1">
        <v>1</v>
      </c>
      <c r="FK49" s="1">
        <v>1</v>
      </c>
      <c r="FL49" s="1">
        <v>1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1</v>
      </c>
      <c r="FW49" s="1">
        <v>0</v>
      </c>
      <c r="FX49" s="1">
        <v>0</v>
      </c>
      <c r="FY49" s="1">
        <v>0</v>
      </c>
      <c r="FZ49" s="1">
        <v>0</v>
      </c>
      <c r="GA49" s="1">
        <v>1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1</v>
      </c>
      <c r="GH49" s="1">
        <v>0</v>
      </c>
      <c r="GI49" s="1">
        <v>0</v>
      </c>
      <c r="GJ49" s="1">
        <v>1</v>
      </c>
      <c r="GK49" s="1">
        <v>0</v>
      </c>
      <c r="GL49" s="1">
        <v>0</v>
      </c>
      <c r="GM49" s="1">
        <v>0</v>
      </c>
      <c r="GN49" s="1">
        <v>1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1</v>
      </c>
      <c r="GU49" s="1">
        <v>1</v>
      </c>
      <c r="GV49" s="1">
        <v>1</v>
      </c>
      <c r="GW49" s="1">
        <v>1</v>
      </c>
      <c r="GX49" s="1">
        <v>0</v>
      </c>
      <c r="GY49" s="1">
        <v>0</v>
      </c>
      <c r="GZ49" s="1">
        <v>0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0</v>
      </c>
    </row>
    <row r="50" spans="1:214" x14ac:dyDescent="0.2">
      <c r="A50" s="1" t="s">
        <v>370</v>
      </c>
      <c r="B50" s="1" t="s">
        <v>370</v>
      </c>
      <c r="D50" s="1" t="s">
        <v>371</v>
      </c>
      <c r="E50" s="1" t="s">
        <v>215</v>
      </c>
      <c r="F50" s="1">
        <v>0</v>
      </c>
      <c r="G50" s="1" t="s">
        <v>238</v>
      </c>
      <c r="H50" s="1" t="s">
        <v>239</v>
      </c>
      <c r="I50" s="1" t="s">
        <v>240</v>
      </c>
      <c r="J50" s="1">
        <v>218</v>
      </c>
      <c r="K50" s="1" t="s">
        <v>24</v>
      </c>
      <c r="L50" s="1" t="s">
        <v>261</v>
      </c>
      <c r="M50" s="1" t="s">
        <v>16</v>
      </c>
      <c r="N50" s="1">
        <f>IF(Regions_master[[#This Row],[Forecaster]]=Regions_master[[#Headers],[Grigor]],1,0)</f>
        <v>0</v>
      </c>
      <c r="O50" s="1">
        <f>IF(Regions_master[[#This Row],[Forecaster]]=Regions_master[[#Headers],[Ingo]],1,0)</f>
        <v>0</v>
      </c>
      <c r="P50" s="1">
        <f>IF(Regions_master[[#This Row],[Forecaster]]=Regions_master[[#Headers],[Danyira]],1,0)</f>
        <v>0</v>
      </c>
      <c r="Q50" s="1">
        <f>IF(Regions_master[[#This Row],[Forecaster]]=Regions_master[[#Headers],[Sebastian]],1,0)</f>
        <v>1</v>
      </c>
      <c r="R50" s="1">
        <f>IF(Regions_master[[#This Row],[Forecaster]]=Regions_master[[#Headers],[Yasu]],1,0)</f>
        <v>0</v>
      </c>
      <c r="S50" s="1">
        <f>IF(Regions_master[[#This Row],[Forecaster]]=Regions_master[[#Headers],[Zhenqian]],1,0)</f>
        <v>0</v>
      </c>
      <c r="T50" s="1">
        <f>IF(Regions_master[[#This Row],[Forecaster]]=Regions_master[[#Headers],[Berna]],1,0)</f>
        <v>0</v>
      </c>
      <c r="U50" s="1">
        <f>IF(Regions_master[[#This Row],[Forecaster]]=Regions_master[[#Headers],[Julian]],1,0)</f>
        <v>0</v>
      </c>
      <c r="V50" s="1">
        <f>IF(Regions_master[[#This Row],[Forecaster]]=Regions_master[[#Headers],[Katarzyna]],1,0)</f>
        <v>0</v>
      </c>
      <c r="W50" s="1">
        <v>1</v>
      </c>
      <c r="X50" s="1">
        <v>0</v>
      </c>
      <c r="Y50" s="1">
        <v>0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1">
        <v>0</v>
      </c>
      <c r="BB50" s="1">
        <v>1</v>
      </c>
      <c r="BC50" s="1">
        <v>1</v>
      </c>
      <c r="BD50" s="1">
        <v>0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1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1</v>
      </c>
      <c r="CT50" s="1">
        <v>0</v>
      </c>
      <c r="CU50" s="1">
        <v>1</v>
      </c>
      <c r="CV50" s="1">
        <v>1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1</v>
      </c>
      <c r="EE50" s="1">
        <v>0</v>
      </c>
      <c r="EF50" s="1">
        <v>0</v>
      </c>
      <c r="EG50" s="1">
        <v>1</v>
      </c>
      <c r="EH50" s="1">
        <v>1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1</v>
      </c>
      <c r="EP50" s="1">
        <v>0</v>
      </c>
      <c r="EQ50" s="1">
        <v>0</v>
      </c>
      <c r="ER50" s="1">
        <v>1</v>
      </c>
      <c r="ES50" s="1">
        <v>1</v>
      </c>
      <c r="ET50" s="1">
        <v>0</v>
      </c>
      <c r="EU50" s="1">
        <v>0</v>
      </c>
      <c r="EV50" s="1">
        <v>0</v>
      </c>
      <c r="EW50" s="1">
        <v>1</v>
      </c>
      <c r="EX50" s="1">
        <v>0</v>
      </c>
      <c r="EY50" s="1">
        <v>0</v>
      </c>
      <c r="EZ50" s="1">
        <v>0</v>
      </c>
      <c r="FA50" s="1">
        <v>1</v>
      </c>
      <c r="FB50" s="1">
        <v>0</v>
      </c>
      <c r="FC50" s="1">
        <v>0</v>
      </c>
      <c r="FD50" s="1">
        <v>1</v>
      </c>
      <c r="FE50" s="1">
        <v>1</v>
      </c>
      <c r="FF50" s="1">
        <v>1</v>
      </c>
      <c r="FG50" s="1">
        <v>1</v>
      </c>
      <c r="FH50" s="1">
        <v>1</v>
      </c>
      <c r="FI50" s="1">
        <v>1</v>
      </c>
      <c r="FJ50" s="1">
        <v>1</v>
      </c>
      <c r="FK50" s="1">
        <v>1</v>
      </c>
      <c r="FL50" s="1">
        <v>1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1</v>
      </c>
      <c r="FW50" s="1">
        <v>1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1</v>
      </c>
      <c r="GH50" s="1">
        <v>1</v>
      </c>
      <c r="GI50" s="1">
        <v>1</v>
      </c>
      <c r="GJ50" s="1">
        <v>0</v>
      </c>
      <c r="GK50" s="1">
        <v>1</v>
      </c>
      <c r="GL50" s="1">
        <v>0</v>
      </c>
      <c r="GM50" s="1">
        <v>0</v>
      </c>
      <c r="GN50" s="1">
        <v>1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1</v>
      </c>
      <c r="GU50" s="1">
        <v>1</v>
      </c>
      <c r="GV50" s="1">
        <v>1</v>
      </c>
      <c r="GW50" s="1">
        <v>1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1</v>
      </c>
      <c r="HD50" s="1">
        <v>1</v>
      </c>
      <c r="HE50" s="1">
        <v>1</v>
      </c>
      <c r="HF50" s="1">
        <v>0</v>
      </c>
    </row>
    <row r="51" spans="1:214" x14ac:dyDescent="0.2">
      <c r="A51" s="1" t="s">
        <v>372</v>
      </c>
      <c r="B51" s="1" t="s">
        <v>372</v>
      </c>
      <c r="D51" s="1" t="s">
        <v>373</v>
      </c>
      <c r="E51" s="1" t="s">
        <v>215</v>
      </c>
      <c r="F51" s="1">
        <v>0</v>
      </c>
      <c r="G51" s="1" t="s">
        <v>227</v>
      </c>
      <c r="H51" s="1" t="s">
        <v>228</v>
      </c>
      <c r="I51" s="1" t="s">
        <v>229</v>
      </c>
      <c r="J51" s="1">
        <v>818</v>
      </c>
      <c r="K51" s="1" t="s">
        <v>24</v>
      </c>
      <c r="L51" s="1" t="s">
        <v>374</v>
      </c>
      <c r="M51" s="1" t="s">
        <v>17</v>
      </c>
      <c r="N51" s="1">
        <f>IF(Regions_master[[#This Row],[Forecaster]]=Regions_master[[#Headers],[Grigor]],1,0)</f>
        <v>0</v>
      </c>
      <c r="O51" s="1">
        <f>IF(Regions_master[[#This Row],[Forecaster]]=Regions_master[[#Headers],[Ingo]],1,0)</f>
        <v>0</v>
      </c>
      <c r="P51" s="1">
        <f>IF(Regions_master[[#This Row],[Forecaster]]=Regions_master[[#Headers],[Danyira]],1,0)</f>
        <v>0</v>
      </c>
      <c r="Q51" s="1">
        <f>IF(Regions_master[[#This Row],[Forecaster]]=Regions_master[[#Headers],[Sebastian]],1,0)</f>
        <v>0</v>
      </c>
      <c r="R51" s="1">
        <f>IF(Regions_master[[#This Row],[Forecaster]]=Regions_master[[#Headers],[Yasu]],1,0)</f>
        <v>1</v>
      </c>
      <c r="S51" s="1">
        <f>IF(Regions_master[[#This Row],[Forecaster]]=Regions_master[[#Headers],[Zhenqian]],1,0)</f>
        <v>0</v>
      </c>
      <c r="T51" s="1">
        <f>IF(Regions_master[[#This Row],[Forecaster]]=Regions_master[[#Headers],[Berna]],1,0)</f>
        <v>0</v>
      </c>
      <c r="U51" s="1">
        <f>IF(Regions_master[[#This Row],[Forecaster]]=Regions_master[[#Headers],[Julian]],1,0)</f>
        <v>0</v>
      </c>
      <c r="V51" s="1">
        <f>IF(Regions_master[[#This Row],[Forecaster]]=Regions_master[[#Headers],[Katarzyna]],1,0)</f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1</v>
      </c>
      <c r="BO51" s="1">
        <v>0</v>
      </c>
      <c r="BP51" s="1">
        <v>1</v>
      </c>
      <c r="BQ51" s="1">
        <v>1</v>
      </c>
      <c r="BR51" s="1">
        <v>0</v>
      </c>
      <c r="BS51" s="1">
        <v>0</v>
      </c>
      <c r="BT51" s="1">
        <v>0</v>
      </c>
      <c r="BU51" s="1">
        <v>0</v>
      </c>
      <c r="BV51" s="1">
        <v>1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1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1</v>
      </c>
      <c r="DK51" s="1">
        <v>1</v>
      </c>
      <c r="DL51" s="1">
        <v>0</v>
      </c>
      <c r="DM51" s="1">
        <v>0</v>
      </c>
      <c r="DN51" s="1">
        <v>0</v>
      </c>
      <c r="DO51" s="1">
        <v>0</v>
      </c>
      <c r="DP51" s="1">
        <v>1</v>
      </c>
      <c r="DQ51" s="1">
        <v>1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1</v>
      </c>
      <c r="EE51" s="1">
        <v>0</v>
      </c>
      <c r="EF51" s="1">
        <v>1</v>
      </c>
      <c r="EG51" s="1">
        <v>0</v>
      </c>
      <c r="EH51" s="1">
        <v>1</v>
      </c>
      <c r="EI51" s="1">
        <v>0</v>
      </c>
      <c r="EJ51" s="1">
        <v>0</v>
      </c>
      <c r="EK51" s="1">
        <v>1</v>
      </c>
      <c r="EL51" s="1">
        <v>1</v>
      </c>
      <c r="EM51" s="1">
        <v>0</v>
      </c>
      <c r="EN51" s="1">
        <v>0</v>
      </c>
      <c r="EO51" s="1">
        <v>0</v>
      </c>
      <c r="EP51" s="1">
        <v>0</v>
      </c>
      <c r="EQ51" s="1">
        <v>1</v>
      </c>
      <c r="ER51" s="1">
        <v>0</v>
      </c>
      <c r="ES51" s="1">
        <v>0</v>
      </c>
      <c r="ET51" s="1">
        <v>0</v>
      </c>
      <c r="EU51" s="1">
        <v>0</v>
      </c>
      <c r="EV51" s="1">
        <v>1</v>
      </c>
      <c r="EW51" s="1">
        <v>0</v>
      </c>
      <c r="EX51" s="1">
        <v>0</v>
      </c>
      <c r="EY51" s="1">
        <v>0</v>
      </c>
      <c r="EZ51" s="1">
        <v>0</v>
      </c>
      <c r="FA51" s="1">
        <v>1</v>
      </c>
      <c r="FB51" s="1">
        <v>1</v>
      </c>
      <c r="FC51" s="1">
        <v>0</v>
      </c>
      <c r="FD51" s="1">
        <v>1</v>
      </c>
      <c r="FE51" s="1">
        <v>1</v>
      </c>
      <c r="FF51" s="1">
        <v>1</v>
      </c>
      <c r="FG51" s="1">
        <v>1</v>
      </c>
      <c r="FH51" s="1">
        <v>1</v>
      </c>
      <c r="FI51" s="1">
        <v>1</v>
      </c>
      <c r="FJ51" s="1">
        <v>1</v>
      </c>
      <c r="FK51" s="1">
        <v>1</v>
      </c>
      <c r="FL51" s="1">
        <v>1</v>
      </c>
      <c r="FM51" s="1">
        <v>0</v>
      </c>
      <c r="FN51" s="1">
        <v>0</v>
      </c>
      <c r="FO51" s="1">
        <v>0</v>
      </c>
      <c r="FP51" s="1">
        <v>1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1</v>
      </c>
      <c r="FY51" s="1">
        <v>0</v>
      </c>
      <c r="FZ51" s="1">
        <v>0</v>
      </c>
      <c r="GA51" s="1">
        <v>0</v>
      </c>
      <c r="GB51" s="1">
        <v>1</v>
      </c>
      <c r="GC51" s="1">
        <v>1</v>
      </c>
      <c r="GD51" s="1">
        <v>0</v>
      </c>
      <c r="GE51" s="1">
        <v>0</v>
      </c>
      <c r="GF51" s="1">
        <v>0</v>
      </c>
      <c r="GG51" s="1">
        <v>1</v>
      </c>
      <c r="GH51" s="1">
        <v>0</v>
      </c>
      <c r="GI51" s="1">
        <v>0</v>
      </c>
      <c r="GJ51" s="1">
        <v>1</v>
      </c>
      <c r="GK51" s="1">
        <v>1</v>
      </c>
      <c r="GL51" s="1">
        <v>1</v>
      </c>
      <c r="GM51" s="1">
        <v>0</v>
      </c>
      <c r="GN51" s="1">
        <v>1</v>
      </c>
      <c r="GO51" s="1">
        <v>0</v>
      </c>
      <c r="GP51" s="1">
        <v>1</v>
      </c>
      <c r="GQ51" s="1">
        <v>1</v>
      </c>
      <c r="GR51" s="1">
        <v>0</v>
      </c>
      <c r="GS51" s="1">
        <v>0</v>
      </c>
      <c r="GT51" s="1">
        <v>1</v>
      </c>
      <c r="GU51" s="1">
        <v>1</v>
      </c>
      <c r="GV51" s="1">
        <v>1</v>
      </c>
      <c r="GW51" s="1">
        <v>1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1</v>
      </c>
      <c r="HD51" s="1">
        <v>1</v>
      </c>
      <c r="HE51" s="1">
        <v>0</v>
      </c>
      <c r="HF51" s="1">
        <v>0</v>
      </c>
    </row>
    <row r="52" spans="1:214" x14ac:dyDescent="0.2">
      <c r="A52" s="1" t="s">
        <v>375</v>
      </c>
      <c r="B52" s="1" t="s">
        <v>376</v>
      </c>
      <c r="D52" s="1" t="s">
        <v>377</v>
      </c>
      <c r="E52" s="1" t="s">
        <v>215</v>
      </c>
      <c r="F52" s="1">
        <v>0</v>
      </c>
      <c r="G52" s="1" t="s">
        <v>238</v>
      </c>
      <c r="H52" s="1" t="s">
        <v>342</v>
      </c>
      <c r="I52" s="1" t="s">
        <v>343</v>
      </c>
      <c r="J52" s="1">
        <v>222</v>
      </c>
      <c r="K52" s="1" t="s">
        <v>24</v>
      </c>
      <c r="L52" s="1" t="s">
        <v>261</v>
      </c>
      <c r="M52" s="1" t="s">
        <v>16</v>
      </c>
      <c r="N52" s="1">
        <f>IF(Regions_master[[#This Row],[Forecaster]]=Regions_master[[#Headers],[Grigor]],1,0)</f>
        <v>0</v>
      </c>
      <c r="O52" s="1">
        <f>IF(Regions_master[[#This Row],[Forecaster]]=Regions_master[[#Headers],[Ingo]],1,0)</f>
        <v>0</v>
      </c>
      <c r="P52" s="1">
        <f>IF(Regions_master[[#This Row],[Forecaster]]=Regions_master[[#Headers],[Danyira]],1,0)</f>
        <v>0</v>
      </c>
      <c r="Q52" s="1">
        <f>IF(Regions_master[[#This Row],[Forecaster]]=Regions_master[[#Headers],[Sebastian]],1,0)</f>
        <v>1</v>
      </c>
      <c r="R52" s="1">
        <f>IF(Regions_master[[#This Row],[Forecaster]]=Regions_master[[#Headers],[Yasu]],1,0)</f>
        <v>0</v>
      </c>
      <c r="S52" s="1">
        <f>IF(Regions_master[[#This Row],[Forecaster]]=Regions_master[[#Headers],[Zhenqian]],1,0)</f>
        <v>0</v>
      </c>
      <c r="T52" s="1">
        <f>IF(Regions_master[[#This Row],[Forecaster]]=Regions_master[[#Headers],[Berna]],1,0)</f>
        <v>0</v>
      </c>
      <c r="U52" s="1">
        <f>IF(Regions_master[[#This Row],[Forecaster]]=Regions_master[[#Headers],[Julian]],1,0)</f>
        <v>0</v>
      </c>
      <c r="V52" s="1">
        <f>IF(Regions_master[[#This Row],[Forecaster]]=Regions_master[[#Headers],[Katarzyna]],1,0)</f>
        <v>0</v>
      </c>
      <c r="W52" s="1">
        <v>1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1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1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1</v>
      </c>
      <c r="CS52" s="1">
        <v>0</v>
      </c>
      <c r="CT52" s="1">
        <v>0</v>
      </c>
      <c r="CU52" s="1">
        <v>1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1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1</v>
      </c>
      <c r="DQ52" s="1">
        <v>1</v>
      </c>
      <c r="DR52" s="1">
        <v>1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1</v>
      </c>
      <c r="EE52" s="1">
        <v>0</v>
      </c>
      <c r="EF52" s="1">
        <v>1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1</v>
      </c>
      <c r="EP52" s="1">
        <v>0</v>
      </c>
      <c r="EQ52" s="1">
        <v>0</v>
      </c>
      <c r="ER52" s="1">
        <v>0</v>
      </c>
      <c r="ES52" s="1">
        <v>1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1</v>
      </c>
      <c r="FB52" s="1">
        <v>1</v>
      </c>
      <c r="FC52" s="1">
        <v>0</v>
      </c>
      <c r="FD52" s="1">
        <v>1</v>
      </c>
      <c r="FE52" s="1">
        <v>1</v>
      </c>
      <c r="FF52" s="1">
        <v>1</v>
      </c>
      <c r="FG52" s="1">
        <v>1</v>
      </c>
      <c r="FH52" s="1">
        <v>1</v>
      </c>
      <c r="FI52" s="1">
        <v>1</v>
      </c>
      <c r="FJ52" s="1">
        <v>1</v>
      </c>
      <c r="FK52" s="1">
        <v>1</v>
      </c>
      <c r="FL52" s="1">
        <v>1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1</v>
      </c>
      <c r="FW52" s="1">
        <v>0</v>
      </c>
      <c r="FX52" s="1">
        <v>0</v>
      </c>
      <c r="FY52" s="1">
        <v>0</v>
      </c>
      <c r="FZ52" s="1">
        <v>0</v>
      </c>
      <c r="GA52" s="1">
        <v>1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1</v>
      </c>
      <c r="GH52" s="1">
        <v>0</v>
      </c>
      <c r="GI52" s="1">
        <v>0</v>
      </c>
      <c r="GJ52" s="1">
        <v>1</v>
      </c>
      <c r="GK52" s="1">
        <v>0</v>
      </c>
      <c r="GL52" s="1">
        <v>0</v>
      </c>
      <c r="GM52" s="1">
        <v>0</v>
      </c>
      <c r="GN52" s="1">
        <v>1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1</v>
      </c>
      <c r="GU52" s="1">
        <v>1</v>
      </c>
      <c r="GV52" s="1">
        <v>1</v>
      </c>
      <c r="GW52" s="1">
        <v>1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1</v>
      </c>
      <c r="HD52" s="1">
        <v>1</v>
      </c>
      <c r="HE52" s="1">
        <v>1</v>
      </c>
      <c r="HF52" s="1">
        <v>0</v>
      </c>
    </row>
    <row r="53" spans="1:214" x14ac:dyDescent="0.2">
      <c r="A53" s="1" t="s">
        <v>378</v>
      </c>
      <c r="B53" s="1" t="s">
        <v>379</v>
      </c>
      <c r="D53" s="1" t="s">
        <v>380</v>
      </c>
      <c r="E53" s="1" t="s">
        <v>215</v>
      </c>
      <c r="F53" s="1">
        <v>0</v>
      </c>
      <c r="G53" s="1" t="s">
        <v>227</v>
      </c>
      <c r="H53" s="1" t="s">
        <v>318</v>
      </c>
      <c r="I53" s="1" t="s">
        <v>319</v>
      </c>
      <c r="J53" s="1">
        <v>226</v>
      </c>
      <c r="K53" s="1" t="s">
        <v>24</v>
      </c>
      <c r="L53" s="1" t="s">
        <v>235</v>
      </c>
      <c r="M53" s="1" t="s">
        <v>20</v>
      </c>
      <c r="N53" s="1">
        <f>IF(Regions_master[[#This Row],[Forecaster]]=Regions_master[[#Headers],[Grigor]],1,0)</f>
        <v>0</v>
      </c>
      <c r="O53" s="1">
        <f>IF(Regions_master[[#This Row],[Forecaster]]=Regions_master[[#Headers],[Ingo]],1,0)</f>
        <v>0</v>
      </c>
      <c r="P53" s="1">
        <f>IF(Regions_master[[#This Row],[Forecaster]]=Regions_master[[#Headers],[Danyira]],1,0)</f>
        <v>0</v>
      </c>
      <c r="Q53" s="1">
        <f>IF(Regions_master[[#This Row],[Forecaster]]=Regions_master[[#Headers],[Sebastian]],1,0)</f>
        <v>0</v>
      </c>
      <c r="R53" s="1">
        <f>IF(Regions_master[[#This Row],[Forecaster]]=Regions_master[[#Headers],[Yasu]],1,0)</f>
        <v>0</v>
      </c>
      <c r="S53" s="1">
        <f>IF(Regions_master[[#This Row],[Forecaster]]=Regions_master[[#Headers],[Zhenqian]],1,0)</f>
        <v>0</v>
      </c>
      <c r="T53" s="1">
        <f>IF(Regions_master[[#This Row],[Forecaster]]=Regions_master[[#Headers],[Berna]],1,0)</f>
        <v>0</v>
      </c>
      <c r="U53" s="1">
        <f>IF(Regions_master[[#This Row],[Forecaster]]=Regions_master[[#Headers],[Julian]],1,0)</f>
        <v>0</v>
      </c>
      <c r="V53" s="1">
        <f>IF(Regions_master[[#This Row],[Forecaster]]=Regions_master[[#Headers],[Katarzyna]],1,0)</f>
        <v>1</v>
      </c>
      <c r="W53" s="1">
        <v>1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1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1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1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1</v>
      </c>
      <c r="CV53" s="1">
        <v>1</v>
      </c>
      <c r="CW53" s="1">
        <v>0</v>
      </c>
      <c r="CX53" s="1">
        <v>1</v>
      </c>
      <c r="CY53" s="1">
        <v>0</v>
      </c>
      <c r="CZ53" s="1">
        <v>0</v>
      </c>
      <c r="DA53" s="1">
        <v>1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1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1</v>
      </c>
      <c r="DQ53" s="1">
        <v>1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1</v>
      </c>
      <c r="EB53" s="1">
        <v>0</v>
      </c>
      <c r="EC53" s="1">
        <v>0</v>
      </c>
      <c r="ED53" s="1">
        <v>1</v>
      </c>
      <c r="EE53" s="1">
        <v>0</v>
      </c>
      <c r="EF53" s="1">
        <v>0</v>
      </c>
      <c r="EG53" s="1">
        <v>0</v>
      </c>
      <c r="EH53" s="4">
        <v>1</v>
      </c>
      <c r="EI53" s="1">
        <v>0</v>
      </c>
      <c r="EJ53" s="1">
        <v>0</v>
      </c>
      <c r="EK53" s="1">
        <v>1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1</v>
      </c>
      <c r="ER53" s="1">
        <v>0</v>
      </c>
      <c r="ES53" s="1">
        <v>1</v>
      </c>
      <c r="ET53" s="1">
        <v>0</v>
      </c>
      <c r="EU53" s="1">
        <v>0</v>
      </c>
      <c r="EV53" s="1">
        <v>0</v>
      </c>
      <c r="EW53" s="1">
        <v>0</v>
      </c>
      <c r="EX53" s="1">
        <v>1</v>
      </c>
      <c r="EY53" s="1">
        <v>0</v>
      </c>
      <c r="EZ53" s="1">
        <v>0</v>
      </c>
      <c r="FA53" s="1">
        <v>1</v>
      </c>
      <c r="FB53" s="1">
        <v>0</v>
      </c>
      <c r="FC53" s="1">
        <v>0</v>
      </c>
      <c r="FD53" s="1">
        <v>1</v>
      </c>
      <c r="FE53" s="1">
        <v>1</v>
      </c>
      <c r="FF53" s="1">
        <v>1</v>
      </c>
      <c r="FG53" s="1">
        <v>1</v>
      </c>
      <c r="FH53" s="1">
        <v>1</v>
      </c>
      <c r="FI53" s="1">
        <v>1</v>
      </c>
      <c r="FJ53" s="1">
        <v>1</v>
      </c>
      <c r="FK53" s="1">
        <v>1</v>
      </c>
      <c r="FL53" s="1">
        <v>1</v>
      </c>
      <c r="FM53" s="1">
        <v>0</v>
      </c>
      <c r="FN53" s="1">
        <v>0</v>
      </c>
      <c r="FO53" s="1">
        <v>0</v>
      </c>
      <c r="FP53" s="1">
        <v>1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</v>
      </c>
      <c r="GD53" s="1">
        <v>0</v>
      </c>
      <c r="GE53" s="1">
        <v>0</v>
      </c>
      <c r="GF53" s="1">
        <v>0</v>
      </c>
      <c r="GG53" s="1">
        <v>1</v>
      </c>
      <c r="GH53" s="1">
        <v>1</v>
      </c>
      <c r="GI53" s="1">
        <v>0</v>
      </c>
      <c r="GJ53" s="1">
        <v>0</v>
      </c>
      <c r="GK53" s="1">
        <v>1</v>
      </c>
      <c r="GL53" s="1">
        <v>0</v>
      </c>
      <c r="GM53" s="1">
        <v>0</v>
      </c>
      <c r="GN53" s="1">
        <v>1</v>
      </c>
      <c r="GO53" s="1">
        <v>0</v>
      </c>
      <c r="GP53" s="1">
        <v>0</v>
      </c>
      <c r="GQ53" s="1">
        <v>1</v>
      </c>
      <c r="GR53" s="1">
        <v>0</v>
      </c>
      <c r="GS53" s="1">
        <v>0</v>
      </c>
      <c r="GT53" s="1">
        <v>1</v>
      </c>
      <c r="GU53" s="1">
        <v>1</v>
      </c>
      <c r="GV53" s="1">
        <v>1</v>
      </c>
      <c r="GW53" s="1">
        <v>1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1</v>
      </c>
      <c r="HD53" s="1">
        <v>1</v>
      </c>
      <c r="HE53" s="1">
        <v>1</v>
      </c>
      <c r="HF53" s="1">
        <v>0</v>
      </c>
    </row>
    <row r="54" spans="1:214" x14ac:dyDescent="0.2">
      <c r="A54" s="1" t="s">
        <v>381</v>
      </c>
      <c r="B54" s="1" t="s">
        <v>381</v>
      </c>
      <c r="D54" s="1" t="s">
        <v>382</v>
      </c>
      <c r="E54" s="1" t="s">
        <v>215</v>
      </c>
      <c r="F54" s="1">
        <v>0</v>
      </c>
      <c r="G54" s="1" t="s">
        <v>227</v>
      </c>
      <c r="H54" s="1" t="s">
        <v>308</v>
      </c>
      <c r="I54" s="1" t="s">
        <v>309</v>
      </c>
      <c r="J54" s="1">
        <v>232</v>
      </c>
      <c r="K54" s="1" t="s">
        <v>24</v>
      </c>
      <c r="L54" s="1" t="s">
        <v>235</v>
      </c>
      <c r="M54" s="1" t="s">
        <v>19</v>
      </c>
      <c r="N54" s="1">
        <f>IF(Regions_master[[#This Row],[Forecaster]]=Regions_master[[#Headers],[Grigor]],1,0)</f>
        <v>0</v>
      </c>
      <c r="O54" s="1">
        <f>IF(Regions_master[[#This Row],[Forecaster]]=Regions_master[[#Headers],[Ingo]],1,0)</f>
        <v>0</v>
      </c>
      <c r="P54" s="1">
        <f>IF(Regions_master[[#This Row],[Forecaster]]=Regions_master[[#Headers],[Danyira]],1,0)</f>
        <v>0</v>
      </c>
      <c r="Q54" s="1">
        <f>IF(Regions_master[[#This Row],[Forecaster]]=Regions_master[[#Headers],[Sebastian]],1,0)</f>
        <v>0</v>
      </c>
      <c r="R54" s="1">
        <f>IF(Regions_master[[#This Row],[Forecaster]]=Regions_master[[#Headers],[Yasu]],1,0)</f>
        <v>0</v>
      </c>
      <c r="S54" s="1">
        <f>IF(Regions_master[[#This Row],[Forecaster]]=Regions_master[[#Headers],[Zhenqian]],1,0)</f>
        <v>0</v>
      </c>
      <c r="T54" s="1">
        <f>IF(Regions_master[[#This Row],[Forecaster]]=Regions_master[[#Headers],[Berna]],1,0)</f>
        <v>0</v>
      </c>
      <c r="U54" s="1">
        <f>IF(Regions_master[[#This Row],[Forecaster]]=Regions_master[[#Headers],[Julian]],1,0)</f>
        <v>1</v>
      </c>
      <c r="V54" s="1">
        <f>IF(Regions_master[[#This Row],[Forecaster]]=Regions_master[[#Headers],[Katarzyna]],1,0)</f>
        <v>0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1</v>
      </c>
      <c r="BI54" s="1">
        <v>1</v>
      </c>
      <c r="BJ54" s="1">
        <v>0</v>
      </c>
      <c r="BK54" s="1">
        <v>1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1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1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1</v>
      </c>
      <c r="CV54" s="1">
        <v>1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1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1</v>
      </c>
      <c r="DQ54" s="1">
        <v>1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1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1</v>
      </c>
      <c r="EK54" s="1">
        <v>1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1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1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1</v>
      </c>
      <c r="FE54" s="1">
        <v>1</v>
      </c>
      <c r="FF54" s="1">
        <v>1</v>
      </c>
      <c r="FG54" s="1">
        <v>1</v>
      </c>
      <c r="FH54" s="1">
        <v>1</v>
      </c>
      <c r="FI54" s="1">
        <v>1</v>
      </c>
      <c r="FJ54" s="1">
        <v>1</v>
      </c>
      <c r="FK54" s="1">
        <v>1</v>
      </c>
      <c r="FL54" s="1">
        <v>1</v>
      </c>
      <c r="FM54" s="1">
        <v>0</v>
      </c>
      <c r="FN54" s="1">
        <v>0</v>
      </c>
      <c r="FO54" s="1">
        <v>0</v>
      </c>
      <c r="FP54" s="1">
        <v>1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1</v>
      </c>
      <c r="FY54" s="1">
        <v>0</v>
      </c>
      <c r="FZ54" s="1">
        <v>0</v>
      </c>
      <c r="GA54" s="1">
        <v>0</v>
      </c>
      <c r="GB54" s="1">
        <v>0</v>
      </c>
      <c r="GC54" s="1">
        <v>1</v>
      </c>
      <c r="GD54" s="1">
        <v>0</v>
      </c>
      <c r="GE54" s="1">
        <v>0</v>
      </c>
      <c r="GF54" s="1">
        <v>0</v>
      </c>
      <c r="GG54" s="1">
        <v>0</v>
      </c>
      <c r="GH54" s="1">
        <v>1</v>
      </c>
      <c r="GI54" s="1">
        <v>0</v>
      </c>
      <c r="GJ54" s="1">
        <v>0</v>
      </c>
      <c r="GK54" s="1">
        <v>0</v>
      </c>
      <c r="GL54" s="1">
        <v>0</v>
      </c>
      <c r="GM54" s="1">
        <v>1</v>
      </c>
      <c r="GN54" s="1">
        <v>1</v>
      </c>
      <c r="GO54" s="1">
        <v>1</v>
      </c>
      <c r="GP54" s="1">
        <v>0</v>
      </c>
      <c r="GQ54" s="1">
        <v>1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</row>
    <row r="55" spans="1:214" x14ac:dyDescent="0.2">
      <c r="A55" s="1" t="s">
        <v>383</v>
      </c>
      <c r="B55" s="1" t="s">
        <v>383</v>
      </c>
      <c r="D55" s="1" t="s">
        <v>384</v>
      </c>
      <c r="E55" s="1" t="s">
        <v>215</v>
      </c>
      <c r="F55" s="1">
        <v>0</v>
      </c>
      <c r="G55" s="1" t="s">
        <v>251</v>
      </c>
      <c r="H55" s="1" t="s">
        <v>252</v>
      </c>
      <c r="I55" s="1" t="s">
        <v>253</v>
      </c>
      <c r="J55" s="1">
        <v>233</v>
      </c>
      <c r="K55" s="1" t="s">
        <v>22</v>
      </c>
      <c r="L55" s="1" t="s">
        <v>385</v>
      </c>
      <c r="M55" s="1" t="s">
        <v>13</v>
      </c>
      <c r="N55" s="1">
        <f>IF(Regions_master[[#This Row],[Forecaster]]=Regions_master[[#Headers],[Grigor]],1,0)</f>
        <v>1</v>
      </c>
      <c r="O55" s="1">
        <f>IF(Regions_master[[#This Row],[Forecaster]]=Regions_master[[#Headers],[Ingo]],1,0)</f>
        <v>0</v>
      </c>
      <c r="P55" s="1">
        <f>IF(Regions_master[[#This Row],[Forecaster]]=Regions_master[[#Headers],[Danyira]],1,0)</f>
        <v>0</v>
      </c>
      <c r="Q55" s="1">
        <f>IF(Regions_master[[#This Row],[Forecaster]]=Regions_master[[#Headers],[Sebastian]],1,0)</f>
        <v>0</v>
      </c>
      <c r="R55" s="1">
        <f>IF(Regions_master[[#This Row],[Forecaster]]=Regions_master[[#Headers],[Yasu]],1,0)</f>
        <v>0</v>
      </c>
      <c r="S55" s="1">
        <f>IF(Regions_master[[#This Row],[Forecaster]]=Regions_master[[#Headers],[Zhenqian]],1,0)</f>
        <v>0</v>
      </c>
      <c r="T55" s="1">
        <f>IF(Regions_master[[#This Row],[Forecaster]]=Regions_master[[#Headers],[Berna]],1,0)</f>
        <v>0</v>
      </c>
      <c r="U55" s="1">
        <f>IF(Regions_master[[#This Row],[Forecaster]]=Regions_master[[#Headers],[Julian]],1,0)</f>
        <v>0</v>
      </c>
      <c r="V55" s="1">
        <f>IF(Regions_master[[#This Row],[Forecaster]]=Regions_master[[#Headers],[Katarzyna]],1,0)</f>
        <v>0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1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1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1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1</v>
      </c>
      <c r="ED55" s="1">
        <v>0</v>
      </c>
      <c r="EE55" s="1">
        <v>0</v>
      </c>
      <c r="EF55" s="1">
        <v>1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1</v>
      </c>
      <c r="FC55" s="1">
        <v>0</v>
      </c>
      <c r="FD55" s="1">
        <v>1</v>
      </c>
      <c r="FE55" s="1">
        <v>1</v>
      </c>
      <c r="FF55" s="1">
        <v>1</v>
      </c>
      <c r="FG55" s="1">
        <v>1</v>
      </c>
      <c r="FH55" s="1">
        <v>1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1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</row>
    <row r="56" spans="1:214" x14ac:dyDescent="0.2">
      <c r="A56" s="1" t="s">
        <v>386</v>
      </c>
      <c r="B56" s="1" t="s">
        <v>387</v>
      </c>
      <c r="D56" s="1" t="s">
        <v>388</v>
      </c>
      <c r="E56" s="1" t="s">
        <v>215</v>
      </c>
      <c r="F56" s="1">
        <v>0</v>
      </c>
      <c r="G56" s="1" t="s">
        <v>227</v>
      </c>
      <c r="H56" s="1" t="s">
        <v>233</v>
      </c>
      <c r="I56" s="1" t="s">
        <v>234</v>
      </c>
      <c r="J56" s="1">
        <v>748</v>
      </c>
      <c r="K56" s="1" t="s">
        <v>24</v>
      </c>
      <c r="L56" s="1" t="s">
        <v>389</v>
      </c>
      <c r="M56" s="1" t="s">
        <v>20</v>
      </c>
      <c r="N56" s="1">
        <f>IF(Regions_master[[#This Row],[Forecaster]]=Regions_master[[#Headers],[Grigor]],1,0)</f>
        <v>0</v>
      </c>
      <c r="O56" s="1">
        <f>IF(Regions_master[[#This Row],[Forecaster]]=Regions_master[[#Headers],[Ingo]],1,0)</f>
        <v>0</v>
      </c>
      <c r="P56" s="1">
        <f>IF(Regions_master[[#This Row],[Forecaster]]=Regions_master[[#Headers],[Danyira]],1,0)</f>
        <v>0</v>
      </c>
      <c r="Q56" s="1">
        <f>IF(Regions_master[[#This Row],[Forecaster]]=Regions_master[[#Headers],[Sebastian]],1,0)</f>
        <v>0</v>
      </c>
      <c r="R56" s="1">
        <f>IF(Regions_master[[#This Row],[Forecaster]]=Regions_master[[#Headers],[Yasu]],1,0)</f>
        <v>0</v>
      </c>
      <c r="S56" s="1">
        <f>IF(Regions_master[[#This Row],[Forecaster]]=Regions_master[[#Headers],[Zhenqian]],1,0)</f>
        <v>0</v>
      </c>
      <c r="T56" s="1">
        <f>IF(Regions_master[[#This Row],[Forecaster]]=Regions_master[[#Headers],[Berna]],1,0)</f>
        <v>0</v>
      </c>
      <c r="U56" s="1">
        <f>IF(Regions_master[[#This Row],[Forecaster]]=Regions_master[[#Headers],[Julian]],1,0)</f>
        <v>0</v>
      </c>
      <c r="V56" s="1">
        <f>IF(Regions_master[[#This Row],[Forecaster]]=Regions_master[[#Headers],[Katarzyna]],1,0)</f>
        <v>1</v>
      </c>
      <c r="W56" s="1">
        <v>1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1</v>
      </c>
      <c r="BN56" s="1">
        <v>0</v>
      </c>
      <c r="BO56" s="1">
        <v>0</v>
      </c>
      <c r="BP56" s="1">
        <v>0</v>
      </c>
      <c r="BQ56" s="1">
        <v>1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1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1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1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1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1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1</v>
      </c>
      <c r="DQ56" s="1">
        <v>1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1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1</v>
      </c>
      <c r="EE56" s="1">
        <v>0</v>
      </c>
      <c r="EF56" s="1">
        <v>1</v>
      </c>
      <c r="EG56" s="1">
        <v>0</v>
      </c>
      <c r="EH56" s="1">
        <v>0</v>
      </c>
      <c r="EI56" s="1">
        <v>0</v>
      </c>
      <c r="EJ56" s="1">
        <v>0</v>
      </c>
      <c r="EK56" s="1">
        <v>1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1</v>
      </c>
      <c r="ER56" s="1">
        <v>0</v>
      </c>
      <c r="ES56" s="1">
        <v>0</v>
      </c>
      <c r="ET56" s="1">
        <v>0</v>
      </c>
      <c r="EU56" s="1">
        <v>1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1</v>
      </c>
      <c r="FB56" s="1">
        <v>1</v>
      </c>
      <c r="FC56" s="1">
        <v>0</v>
      </c>
      <c r="FD56" s="1">
        <v>1</v>
      </c>
      <c r="FE56" s="1">
        <v>1</v>
      </c>
      <c r="FF56" s="1">
        <v>1</v>
      </c>
      <c r="FG56" s="1">
        <v>1</v>
      </c>
      <c r="FH56" s="1">
        <v>1</v>
      </c>
      <c r="FI56" s="1">
        <v>1</v>
      </c>
      <c r="FJ56" s="1">
        <v>1</v>
      </c>
      <c r="FK56" s="1">
        <v>1</v>
      </c>
      <c r="FL56" s="1">
        <v>1</v>
      </c>
      <c r="FM56" s="1">
        <v>0</v>
      </c>
      <c r="FN56" s="1">
        <v>0</v>
      </c>
      <c r="FO56" s="1">
        <v>0</v>
      </c>
      <c r="FP56" s="1">
        <v>1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1</v>
      </c>
      <c r="FY56" s="1">
        <v>0</v>
      </c>
      <c r="FZ56" s="1">
        <v>0</v>
      </c>
      <c r="GA56" s="1">
        <v>0</v>
      </c>
      <c r="GB56" s="1">
        <v>0</v>
      </c>
      <c r="GC56" s="1">
        <v>1</v>
      </c>
      <c r="GD56" s="1">
        <v>0</v>
      </c>
      <c r="GE56" s="1">
        <v>0</v>
      </c>
      <c r="GF56" s="1">
        <v>0</v>
      </c>
      <c r="GG56" s="1">
        <v>1</v>
      </c>
      <c r="GH56" s="1">
        <v>0</v>
      </c>
      <c r="GI56" s="1">
        <v>0</v>
      </c>
      <c r="GJ56" s="1">
        <v>1</v>
      </c>
      <c r="GK56" s="1">
        <v>0</v>
      </c>
      <c r="GL56" s="1">
        <v>1</v>
      </c>
      <c r="GM56" s="1">
        <v>0</v>
      </c>
      <c r="GN56" s="1">
        <v>1</v>
      </c>
      <c r="GO56" s="1">
        <v>0</v>
      </c>
      <c r="GP56" s="1">
        <v>0</v>
      </c>
      <c r="GQ56" s="1">
        <v>1</v>
      </c>
      <c r="GR56" s="1">
        <v>0</v>
      </c>
      <c r="GS56" s="1">
        <v>0</v>
      </c>
      <c r="GT56" s="1">
        <v>1</v>
      </c>
      <c r="GU56" s="1">
        <v>1</v>
      </c>
      <c r="GV56" s="1">
        <v>1</v>
      </c>
      <c r="GW56" s="1">
        <v>1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1</v>
      </c>
      <c r="HD56" s="1">
        <v>1</v>
      </c>
      <c r="HE56" s="1">
        <v>0</v>
      </c>
      <c r="HF56" s="1">
        <v>0</v>
      </c>
    </row>
    <row r="57" spans="1:214" x14ac:dyDescent="0.2">
      <c r="A57" s="1" t="s">
        <v>390</v>
      </c>
      <c r="B57" s="1" t="s">
        <v>390</v>
      </c>
      <c r="D57" s="1" t="s">
        <v>366</v>
      </c>
      <c r="E57" s="1" t="s">
        <v>215</v>
      </c>
      <c r="F57" s="1">
        <v>0</v>
      </c>
      <c r="G57" s="1" t="s">
        <v>227</v>
      </c>
      <c r="H57" s="1" t="s">
        <v>308</v>
      </c>
      <c r="I57" s="1" t="s">
        <v>309</v>
      </c>
      <c r="J57" s="1">
        <v>231</v>
      </c>
      <c r="K57" s="1" t="s">
        <v>24</v>
      </c>
      <c r="L57" s="1" t="s">
        <v>391</v>
      </c>
      <c r="M57" s="1" t="s">
        <v>19</v>
      </c>
      <c r="N57" s="1">
        <f>IF(Regions_master[[#This Row],[Forecaster]]=Regions_master[[#Headers],[Grigor]],1,0)</f>
        <v>0</v>
      </c>
      <c r="O57" s="1">
        <f>IF(Regions_master[[#This Row],[Forecaster]]=Regions_master[[#Headers],[Ingo]],1,0)</f>
        <v>0</v>
      </c>
      <c r="P57" s="1">
        <f>IF(Regions_master[[#This Row],[Forecaster]]=Regions_master[[#Headers],[Danyira]],1,0)</f>
        <v>0</v>
      </c>
      <c r="Q57" s="1">
        <f>IF(Regions_master[[#This Row],[Forecaster]]=Regions_master[[#Headers],[Sebastian]],1,0)</f>
        <v>0</v>
      </c>
      <c r="R57" s="1">
        <f>IF(Regions_master[[#This Row],[Forecaster]]=Regions_master[[#Headers],[Yasu]],1,0)</f>
        <v>0</v>
      </c>
      <c r="S57" s="1">
        <f>IF(Regions_master[[#This Row],[Forecaster]]=Regions_master[[#Headers],[Zhenqian]],1,0)</f>
        <v>0</v>
      </c>
      <c r="T57" s="1">
        <f>IF(Regions_master[[#This Row],[Forecaster]]=Regions_master[[#Headers],[Berna]],1,0)</f>
        <v>0</v>
      </c>
      <c r="U57" s="1">
        <f>IF(Regions_master[[#This Row],[Forecaster]]=Regions_master[[#Headers],[Julian]],1,0)</f>
        <v>1</v>
      </c>
      <c r="V57" s="1">
        <f>IF(Regions_master[[#This Row],[Forecaster]]=Regions_master[[#Headers],[Katarzyna]],1,0)</f>
        <v>0</v>
      </c>
      <c r="W57" s="1">
        <v>1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>
        <v>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5">
        <v>0</v>
      </c>
      <c r="BH57" s="1">
        <v>1</v>
      </c>
      <c r="BI57" s="1">
        <v>1</v>
      </c>
      <c r="BJ57" s="1">
        <v>1</v>
      </c>
      <c r="BK57" s="1">
        <v>0</v>
      </c>
      <c r="BL57" s="1">
        <v>0</v>
      </c>
      <c r="BM57" s="1">
        <v>1</v>
      </c>
      <c r="BN57" s="1">
        <v>0</v>
      </c>
      <c r="BO57" s="1">
        <v>0</v>
      </c>
      <c r="BP57" s="1">
        <v>1</v>
      </c>
      <c r="BQ57" s="1">
        <v>1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1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1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1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1</v>
      </c>
      <c r="DQ57" s="1">
        <v>1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1</v>
      </c>
      <c r="ED57" s="1">
        <v>0</v>
      </c>
      <c r="EE57" s="1">
        <v>1</v>
      </c>
      <c r="EF57" s="1">
        <v>0</v>
      </c>
      <c r="EG57" s="1">
        <v>1</v>
      </c>
      <c r="EH57" s="1">
        <v>0</v>
      </c>
      <c r="EI57" s="1">
        <v>0</v>
      </c>
      <c r="EJ57" s="1">
        <v>1</v>
      </c>
      <c r="EK57" s="1">
        <v>1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1</v>
      </c>
      <c r="ER57" s="1">
        <v>0</v>
      </c>
      <c r="ES57" s="1">
        <v>0</v>
      </c>
      <c r="ET57" s="1">
        <v>0</v>
      </c>
      <c r="EU57" s="1">
        <v>1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1</v>
      </c>
      <c r="FE57" s="1">
        <v>1</v>
      </c>
      <c r="FF57" s="1">
        <v>1</v>
      </c>
      <c r="FG57" s="1">
        <v>1</v>
      </c>
      <c r="FH57" s="1">
        <v>1</v>
      </c>
      <c r="FI57" s="1">
        <v>1</v>
      </c>
      <c r="FJ57" s="1">
        <v>1</v>
      </c>
      <c r="FK57" s="1">
        <v>1</v>
      </c>
      <c r="FL57" s="1">
        <v>1</v>
      </c>
      <c r="FM57" s="1">
        <v>0</v>
      </c>
      <c r="FN57" s="1">
        <v>0</v>
      </c>
      <c r="FO57" s="1">
        <v>0</v>
      </c>
      <c r="FP57" s="1">
        <v>1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1</v>
      </c>
      <c r="FY57" s="1">
        <v>0</v>
      </c>
      <c r="FZ57" s="1">
        <v>0</v>
      </c>
      <c r="GA57" s="1">
        <v>0</v>
      </c>
      <c r="GB57" s="1">
        <v>0</v>
      </c>
      <c r="GC57" s="1">
        <v>1</v>
      </c>
      <c r="GD57" s="1">
        <v>0</v>
      </c>
      <c r="GE57" s="1">
        <v>0</v>
      </c>
      <c r="GF57" s="1">
        <v>0</v>
      </c>
      <c r="GG57" s="1">
        <v>0</v>
      </c>
      <c r="GH57" s="1">
        <v>1</v>
      </c>
      <c r="GI57" s="1">
        <v>1</v>
      </c>
      <c r="GJ57" s="1">
        <v>0</v>
      </c>
      <c r="GK57" s="1">
        <v>0</v>
      </c>
      <c r="GL57" s="1">
        <v>0</v>
      </c>
      <c r="GM57" s="5">
        <v>0</v>
      </c>
      <c r="GN57" s="1">
        <v>1</v>
      </c>
      <c r="GO57" s="1">
        <v>1</v>
      </c>
      <c r="GP57" s="1">
        <v>0</v>
      </c>
      <c r="GQ57" s="1">
        <v>1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</row>
    <row r="58" spans="1:214" x14ac:dyDescent="0.2">
      <c r="A58" s="1" t="s">
        <v>392</v>
      </c>
      <c r="B58" s="1" t="s">
        <v>392</v>
      </c>
      <c r="D58" s="1" t="s">
        <v>393</v>
      </c>
      <c r="E58" s="1" t="s">
        <v>215</v>
      </c>
      <c r="F58" s="1">
        <v>0</v>
      </c>
      <c r="G58" s="1" t="s">
        <v>216</v>
      </c>
      <c r="H58" s="1" t="s">
        <v>296</v>
      </c>
      <c r="I58" s="1" t="s">
        <v>297</v>
      </c>
      <c r="J58" s="1">
        <v>242</v>
      </c>
      <c r="K58" s="1" t="s">
        <v>24</v>
      </c>
      <c r="L58" s="1" t="s">
        <v>247</v>
      </c>
      <c r="M58" s="1" t="s">
        <v>15</v>
      </c>
      <c r="N58" s="1">
        <f>IF(Regions_master[[#This Row],[Forecaster]]=Regions_master[[#Headers],[Grigor]],1,0)</f>
        <v>0</v>
      </c>
      <c r="O58" s="1">
        <f>IF(Regions_master[[#This Row],[Forecaster]]=Regions_master[[#Headers],[Ingo]],1,0)</f>
        <v>0</v>
      </c>
      <c r="P58" s="1">
        <f>IF(Regions_master[[#This Row],[Forecaster]]=Regions_master[[#Headers],[Danyira]],1,0)</f>
        <v>1</v>
      </c>
      <c r="Q58" s="1">
        <f>IF(Regions_master[[#This Row],[Forecaster]]=Regions_master[[#Headers],[Sebastian]],1,0)</f>
        <v>0</v>
      </c>
      <c r="R58" s="1">
        <f>IF(Regions_master[[#This Row],[Forecaster]]=Regions_master[[#Headers],[Yasu]],1,0)</f>
        <v>0</v>
      </c>
      <c r="S58" s="1">
        <f>IF(Regions_master[[#This Row],[Forecaster]]=Regions_master[[#Headers],[Zhenqian]],1,0)</f>
        <v>0</v>
      </c>
      <c r="T58" s="1">
        <f>IF(Regions_master[[#This Row],[Forecaster]]=Regions_master[[#Headers],[Berna]],1,0)</f>
        <v>0</v>
      </c>
      <c r="U58" s="1">
        <f>IF(Regions_master[[#This Row],[Forecaster]]=Regions_master[[#Headers],[Julian]],1,0)</f>
        <v>0</v>
      </c>
      <c r="V58" s="1">
        <f>IF(Regions_master[[#This Row],[Forecaster]]=Regions_master[[#Headers],[Katarzyna]],1,0)</f>
        <v>0</v>
      </c>
      <c r="W58" s="1">
        <v>1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1</v>
      </c>
      <c r="AV58" s="1">
        <v>0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1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1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1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1</v>
      </c>
      <c r="CV58" s="1">
        <v>1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1</v>
      </c>
      <c r="DD58" s="1">
        <v>0</v>
      </c>
      <c r="DE58" s="1">
        <v>1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1</v>
      </c>
      <c r="DM58" s="1">
        <v>0</v>
      </c>
      <c r="DN58" s="1">
        <v>0</v>
      </c>
      <c r="DO58" s="1">
        <v>0</v>
      </c>
      <c r="DP58" s="1">
        <v>1</v>
      </c>
      <c r="DQ58" s="1">
        <v>1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1</v>
      </c>
      <c r="EE58" s="1">
        <v>1</v>
      </c>
      <c r="EF58" s="1">
        <v>0</v>
      </c>
      <c r="EG58" s="1">
        <v>1</v>
      </c>
      <c r="EH58" s="1">
        <v>0</v>
      </c>
      <c r="EI58" s="1">
        <v>1</v>
      </c>
      <c r="EJ58" s="1">
        <v>0</v>
      </c>
      <c r="EK58" s="1">
        <v>0</v>
      </c>
      <c r="EL58" s="1">
        <v>0</v>
      </c>
      <c r="EM58" s="1">
        <v>0</v>
      </c>
      <c r="EN58" s="1">
        <v>1</v>
      </c>
      <c r="EO58" s="1">
        <v>0</v>
      </c>
      <c r="EP58" s="1">
        <v>0</v>
      </c>
      <c r="EQ58" s="1">
        <v>0</v>
      </c>
      <c r="ER58" s="1">
        <v>0</v>
      </c>
      <c r="ES58" s="1">
        <v>1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1</v>
      </c>
      <c r="FB58" s="1">
        <v>0</v>
      </c>
      <c r="FC58" s="1">
        <v>0</v>
      </c>
      <c r="FD58" s="1">
        <v>1</v>
      </c>
      <c r="FE58" s="1">
        <v>1</v>
      </c>
      <c r="FF58" s="1">
        <v>1</v>
      </c>
      <c r="FG58" s="1">
        <v>1</v>
      </c>
      <c r="FH58" s="1">
        <v>1</v>
      </c>
      <c r="FI58" s="1">
        <v>1</v>
      </c>
      <c r="FJ58" s="1">
        <v>1</v>
      </c>
      <c r="FK58" s="1">
        <v>1</v>
      </c>
      <c r="FL58" s="1">
        <v>1</v>
      </c>
      <c r="FM58" s="1">
        <v>0</v>
      </c>
      <c r="FN58" s="1">
        <v>0</v>
      </c>
      <c r="FO58" s="1">
        <v>0</v>
      </c>
      <c r="FP58" s="1">
        <v>0</v>
      </c>
      <c r="FQ58" s="1">
        <v>1</v>
      </c>
      <c r="FR58" s="1">
        <v>0</v>
      </c>
      <c r="FS58" s="1">
        <v>1</v>
      </c>
      <c r="FT58" s="1">
        <v>1</v>
      </c>
      <c r="FU58" s="1">
        <v>0</v>
      </c>
      <c r="FV58" s="1">
        <v>0</v>
      </c>
      <c r="FW58" s="1">
        <v>0</v>
      </c>
      <c r="FX58" s="1">
        <v>0</v>
      </c>
      <c r="FY58" s="1">
        <v>1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1</v>
      </c>
      <c r="GH58" s="1">
        <v>1</v>
      </c>
      <c r="GI58" s="1">
        <v>1</v>
      </c>
      <c r="GJ58" s="1">
        <v>0</v>
      </c>
      <c r="GK58" s="1">
        <v>0</v>
      </c>
      <c r="GL58" s="1">
        <v>0</v>
      </c>
      <c r="GM58" s="1">
        <v>0</v>
      </c>
      <c r="GN58" s="1">
        <v>1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1</v>
      </c>
      <c r="GU58" s="1">
        <v>1</v>
      </c>
      <c r="GV58" s="1">
        <v>1</v>
      </c>
      <c r="GW58" s="1">
        <v>1</v>
      </c>
      <c r="GX58" s="1">
        <v>1</v>
      </c>
      <c r="GY58" s="1">
        <v>0</v>
      </c>
      <c r="GZ58" s="1">
        <v>0</v>
      </c>
      <c r="HA58" s="1">
        <v>0</v>
      </c>
      <c r="HB58" s="1">
        <v>0</v>
      </c>
      <c r="HC58" s="1">
        <v>1</v>
      </c>
      <c r="HD58" s="1">
        <v>1</v>
      </c>
      <c r="HE58" s="1">
        <v>1</v>
      </c>
      <c r="HF58" s="1">
        <v>0</v>
      </c>
    </row>
    <row r="59" spans="1:214" x14ac:dyDescent="0.2">
      <c r="A59" s="1" t="s">
        <v>394</v>
      </c>
      <c r="B59" s="1" t="s">
        <v>394</v>
      </c>
      <c r="D59" s="1" t="s">
        <v>385</v>
      </c>
      <c r="E59" s="1" t="s">
        <v>215</v>
      </c>
      <c r="F59" s="1">
        <v>0</v>
      </c>
      <c r="G59" s="1" t="s">
        <v>251</v>
      </c>
      <c r="H59" s="1" t="s">
        <v>252</v>
      </c>
      <c r="I59" s="1" t="s">
        <v>253</v>
      </c>
      <c r="J59" s="1">
        <v>246</v>
      </c>
      <c r="K59" s="1" t="s">
        <v>22</v>
      </c>
      <c r="L59" s="1" t="s">
        <v>254</v>
      </c>
      <c r="M59" s="1" t="s">
        <v>14</v>
      </c>
      <c r="N59" s="1">
        <f>IF(Regions_master[[#This Row],[Forecaster]]=Regions_master[[#Headers],[Grigor]],1,0)</f>
        <v>0</v>
      </c>
      <c r="O59" s="1">
        <f>IF(Regions_master[[#This Row],[Forecaster]]=Regions_master[[#Headers],[Ingo]],1,0)</f>
        <v>1</v>
      </c>
      <c r="P59" s="1">
        <f>IF(Regions_master[[#This Row],[Forecaster]]=Regions_master[[#Headers],[Danyira]],1,0)</f>
        <v>0</v>
      </c>
      <c r="Q59" s="1">
        <f>IF(Regions_master[[#This Row],[Forecaster]]=Regions_master[[#Headers],[Sebastian]],1,0)</f>
        <v>0</v>
      </c>
      <c r="R59" s="1">
        <f>IF(Regions_master[[#This Row],[Forecaster]]=Regions_master[[#Headers],[Yasu]],1,0)</f>
        <v>0</v>
      </c>
      <c r="S59" s="1">
        <f>IF(Regions_master[[#This Row],[Forecaster]]=Regions_master[[#Headers],[Zhenqian]],1,0)</f>
        <v>0</v>
      </c>
      <c r="T59" s="1">
        <f>IF(Regions_master[[#This Row],[Forecaster]]=Regions_master[[#Headers],[Berna]],1,0)</f>
        <v>0</v>
      </c>
      <c r="U59" s="1">
        <f>IF(Regions_master[[#This Row],[Forecaster]]=Regions_master[[#Headers],[Julian]],1,0)</f>
        <v>0</v>
      </c>
      <c r="V59" s="1">
        <f>IF(Regions_master[[#This Row],[Forecaster]]=Regions_master[[#Headers],[Katarzyna]],1,0)</f>
        <v>0</v>
      </c>
      <c r="W59" s="1">
        <v>1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0</v>
      </c>
      <c r="AI59" s="1">
        <v>0</v>
      </c>
      <c r="AJ59" s="1">
        <v>0</v>
      </c>
      <c r="AK59" s="1">
        <v>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1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1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1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1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1</v>
      </c>
      <c r="ED59" s="1">
        <v>0</v>
      </c>
      <c r="EE59" s="1">
        <v>0</v>
      </c>
      <c r="EF59" s="1">
        <v>1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1</v>
      </c>
      <c r="FC59" s="1">
        <v>0</v>
      </c>
      <c r="FD59" s="1">
        <v>1</v>
      </c>
      <c r="FE59" s="1">
        <v>1</v>
      </c>
      <c r="FF59" s="1">
        <v>1</v>
      </c>
      <c r="FG59" s="1">
        <v>1</v>
      </c>
      <c r="FH59" s="1">
        <v>1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1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1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</row>
    <row r="60" spans="1:214" x14ac:dyDescent="0.2">
      <c r="A60" s="1" t="s">
        <v>395</v>
      </c>
      <c r="B60" s="1" t="s">
        <v>395</v>
      </c>
      <c r="D60" s="1" t="s">
        <v>336</v>
      </c>
      <c r="E60" s="1" t="s">
        <v>215</v>
      </c>
      <c r="F60" s="1">
        <v>0</v>
      </c>
      <c r="G60" s="1" t="s">
        <v>251</v>
      </c>
      <c r="H60" s="1" t="s">
        <v>252</v>
      </c>
      <c r="I60" s="1" t="s">
        <v>253</v>
      </c>
      <c r="J60" s="1">
        <v>250</v>
      </c>
      <c r="K60" s="1" t="s">
        <v>22</v>
      </c>
      <c r="L60" s="1" t="s">
        <v>254</v>
      </c>
      <c r="M60" s="1" t="s">
        <v>14</v>
      </c>
      <c r="N60" s="1">
        <f>IF(Regions_master[[#This Row],[Forecaster]]=Regions_master[[#Headers],[Grigor]],1,0)</f>
        <v>0</v>
      </c>
      <c r="O60" s="1">
        <f>IF(Regions_master[[#This Row],[Forecaster]]=Regions_master[[#Headers],[Ingo]],1,0)</f>
        <v>1</v>
      </c>
      <c r="P60" s="1">
        <f>IF(Regions_master[[#This Row],[Forecaster]]=Regions_master[[#Headers],[Danyira]],1,0)</f>
        <v>0</v>
      </c>
      <c r="Q60" s="1">
        <f>IF(Regions_master[[#This Row],[Forecaster]]=Regions_master[[#Headers],[Sebastian]],1,0)</f>
        <v>0</v>
      </c>
      <c r="R60" s="1">
        <f>IF(Regions_master[[#This Row],[Forecaster]]=Regions_master[[#Headers],[Yasu]],1,0)</f>
        <v>0</v>
      </c>
      <c r="S60" s="1">
        <f>IF(Regions_master[[#This Row],[Forecaster]]=Regions_master[[#Headers],[Zhenqian]],1,0)</f>
        <v>0</v>
      </c>
      <c r="T60" s="1">
        <f>IF(Regions_master[[#This Row],[Forecaster]]=Regions_master[[#Headers],[Berna]],1,0)</f>
        <v>0</v>
      </c>
      <c r="U60" s="1">
        <f>IF(Regions_master[[#This Row],[Forecaster]]=Regions_master[[#Headers],[Julian]],1,0)</f>
        <v>0</v>
      </c>
      <c r="V60" s="1">
        <f>IF(Regions_master[[#This Row],[Forecaster]]=Regions_master[[#Headers],[Katarzyna]],1,0)</f>
        <v>0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0</v>
      </c>
      <c r="AI60" s="1">
        <v>1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1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1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1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1</v>
      </c>
      <c r="EE60" s="1">
        <v>0</v>
      </c>
      <c r="EF60" s="1">
        <v>1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1</v>
      </c>
      <c r="FB60" s="1">
        <v>1</v>
      </c>
      <c r="FC60" s="1">
        <v>0</v>
      </c>
      <c r="FD60" s="1">
        <v>1</v>
      </c>
      <c r="FE60" s="1">
        <v>1</v>
      </c>
      <c r="FF60" s="1">
        <v>1</v>
      </c>
      <c r="FG60" s="1">
        <v>1</v>
      </c>
      <c r="FH60" s="1">
        <v>1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1</v>
      </c>
      <c r="GH60" s="1">
        <v>0</v>
      </c>
      <c r="GI60" s="1">
        <v>0</v>
      </c>
      <c r="GJ60" s="1">
        <v>1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</row>
    <row r="61" spans="1:214" x14ac:dyDescent="0.2">
      <c r="A61" s="1" t="s">
        <v>396</v>
      </c>
      <c r="B61" s="1" t="s">
        <v>396</v>
      </c>
      <c r="D61" s="1" t="s">
        <v>397</v>
      </c>
      <c r="E61" s="1" t="s">
        <v>215</v>
      </c>
      <c r="F61" s="1">
        <v>0</v>
      </c>
      <c r="G61" s="1" t="s">
        <v>227</v>
      </c>
      <c r="H61" s="1" t="s">
        <v>318</v>
      </c>
      <c r="I61" s="1" t="s">
        <v>319</v>
      </c>
      <c r="J61" s="1">
        <v>266</v>
      </c>
      <c r="K61" s="1" t="s">
        <v>24</v>
      </c>
      <c r="L61" s="1" t="s">
        <v>235</v>
      </c>
      <c r="M61" s="1" t="s">
        <v>20</v>
      </c>
      <c r="N61" s="1">
        <f>IF(Regions_master[[#This Row],[Forecaster]]=Regions_master[[#Headers],[Grigor]],1,0)</f>
        <v>0</v>
      </c>
      <c r="O61" s="1">
        <f>IF(Regions_master[[#This Row],[Forecaster]]=Regions_master[[#Headers],[Ingo]],1,0)</f>
        <v>0</v>
      </c>
      <c r="P61" s="1">
        <f>IF(Regions_master[[#This Row],[Forecaster]]=Regions_master[[#Headers],[Danyira]],1,0)</f>
        <v>0</v>
      </c>
      <c r="Q61" s="1">
        <f>IF(Regions_master[[#This Row],[Forecaster]]=Regions_master[[#Headers],[Sebastian]],1,0)</f>
        <v>0</v>
      </c>
      <c r="R61" s="1">
        <f>IF(Regions_master[[#This Row],[Forecaster]]=Regions_master[[#Headers],[Yasu]],1,0)</f>
        <v>0</v>
      </c>
      <c r="S61" s="1">
        <f>IF(Regions_master[[#This Row],[Forecaster]]=Regions_master[[#Headers],[Zhenqian]],1,0)</f>
        <v>0</v>
      </c>
      <c r="T61" s="1">
        <f>IF(Regions_master[[#This Row],[Forecaster]]=Regions_master[[#Headers],[Berna]],1,0)</f>
        <v>0</v>
      </c>
      <c r="U61" s="1">
        <f>IF(Regions_master[[#This Row],[Forecaster]]=Regions_master[[#Headers],[Julian]],1,0)</f>
        <v>0</v>
      </c>
      <c r="V61" s="1">
        <f>IF(Regions_master[[#This Row],[Forecaster]]=Regions_master[[#Headers],[Katarzyna]],1,0)</f>
        <v>1</v>
      </c>
      <c r="W61" s="1">
        <v>1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1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1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1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1</v>
      </c>
      <c r="CV61" s="1">
        <v>1</v>
      </c>
      <c r="CW61" s="1">
        <v>0</v>
      </c>
      <c r="CX61" s="1">
        <v>1</v>
      </c>
      <c r="CY61" s="1">
        <v>0</v>
      </c>
      <c r="CZ61" s="1">
        <v>0</v>
      </c>
      <c r="DA61" s="1">
        <v>1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1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1</v>
      </c>
      <c r="DQ61" s="1">
        <v>1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1</v>
      </c>
      <c r="EB61" s="1">
        <v>0</v>
      </c>
      <c r="EC61" s="1">
        <v>0</v>
      </c>
      <c r="ED61" s="1">
        <v>1</v>
      </c>
      <c r="EE61" s="1">
        <v>0</v>
      </c>
      <c r="EF61" s="1">
        <v>1</v>
      </c>
      <c r="EG61" s="1">
        <v>0</v>
      </c>
      <c r="EH61" s="1">
        <v>1</v>
      </c>
      <c r="EI61" s="1">
        <v>0</v>
      </c>
      <c r="EJ61" s="1">
        <v>0</v>
      </c>
      <c r="EK61" s="1">
        <v>1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1</v>
      </c>
      <c r="ER61" s="1">
        <v>0</v>
      </c>
      <c r="ES61" s="1">
        <v>1</v>
      </c>
      <c r="ET61" s="1">
        <v>0</v>
      </c>
      <c r="EU61" s="1">
        <v>0</v>
      </c>
      <c r="EV61" s="1">
        <v>0</v>
      </c>
      <c r="EW61" s="1">
        <v>0</v>
      </c>
      <c r="EX61" s="1">
        <v>1</v>
      </c>
      <c r="EY61" s="1">
        <v>0</v>
      </c>
      <c r="EZ61" s="1">
        <v>0</v>
      </c>
      <c r="FA61" s="1">
        <v>1</v>
      </c>
      <c r="FB61" s="1">
        <v>1</v>
      </c>
      <c r="FC61" s="1">
        <v>0</v>
      </c>
      <c r="FD61" s="1">
        <v>1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>
        <v>1</v>
      </c>
      <c r="FK61" s="1">
        <v>1</v>
      </c>
      <c r="FL61" s="1">
        <v>1</v>
      </c>
      <c r="FM61" s="1">
        <v>0</v>
      </c>
      <c r="FN61" s="1">
        <v>0</v>
      </c>
      <c r="FO61" s="1">
        <v>0</v>
      </c>
      <c r="FP61" s="1">
        <v>1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1</v>
      </c>
      <c r="GD61" s="1">
        <v>0</v>
      </c>
      <c r="GE61" s="1">
        <v>0</v>
      </c>
      <c r="GF61" s="1">
        <v>0</v>
      </c>
      <c r="GG61" s="1">
        <v>1</v>
      </c>
      <c r="GH61" s="1">
        <v>1</v>
      </c>
      <c r="GI61" s="1">
        <v>0</v>
      </c>
      <c r="GJ61" s="1">
        <v>1</v>
      </c>
      <c r="GK61" s="1">
        <v>1</v>
      </c>
      <c r="GL61" s="1">
        <v>0</v>
      </c>
      <c r="GM61" s="1">
        <v>0</v>
      </c>
      <c r="GN61" s="1">
        <v>1</v>
      </c>
      <c r="GO61" s="1">
        <v>0</v>
      </c>
      <c r="GP61" s="1">
        <v>0</v>
      </c>
      <c r="GQ61" s="1">
        <v>1</v>
      </c>
      <c r="GR61" s="1">
        <v>0</v>
      </c>
      <c r="GS61" s="1">
        <v>0</v>
      </c>
      <c r="GT61" s="1">
        <v>1</v>
      </c>
      <c r="GU61" s="1">
        <v>1</v>
      </c>
      <c r="GV61" s="1">
        <v>1</v>
      </c>
      <c r="GW61" s="1">
        <v>1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1</v>
      </c>
      <c r="HD61" s="1">
        <v>1</v>
      </c>
      <c r="HE61" s="1">
        <v>1</v>
      </c>
      <c r="HF61" s="1">
        <v>0</v>
      </c>
    </row>
    <row r="62" spans="1:214" x14ac:dyDescent="0.2">
      <c r="A62" s="1" t="s">
        <v>398</v>
      </c>
      <c r="B62" s="1" t="s">
        <v>398</v>
      </c>
      <c r="D62" s="1" t="s">
        <v>399</v>
      </c>
      <c r="E62" s="1" t="s">
        <v>215</v>
      </c>
      <c r="F62" s="1">
        <v>0</v>
      </c>
      <c r="G62" s="1" t="s">
        <v>227</v>
      </c>
      <c r="H62" s="1" t="s">
        <v>280</v>
      </c>
      <c r="I62" s="1" t="s">
        <v>281</v>
      </c>
      <c r="J62" s="1">
        <v>270</v>
      </c>
      <c r="K62" s="1" t="s">
        <v>24</v>
      </c>
      <c r="L62" s="1" t="s">
        <v>400</v>
      </c>
      <c r="M62" s="1" t="s">
        <v>19</v>
      </c>
      <c r="N62" s="1">
        <f>IF(Regions_master[[#This Row],[Forecaster]]=Regions_master[[#Headers],[Grigor]],1,0)</f>
        <v>0</v>
      </c>
      <c r="O62" s="1">
        <f>IF(Regions_master[[#This Row],[Forecaster]]=Regions_master[[#Headers],[Ingo]],1,0)</f>
        <v>0</v>
      </c>
      <c r="P62" s="1">
        <f>IF(Regions_master[[#This Row],[Forecaster]]=Regions_master[[#Headers],[Danyira]],1,0)</f>
        <v>0</v>
      </c>
      <c r="Q62" s="1">
        <f>IF(Regions_master[[#This Row],[Forecaster]]=Regions_master[[#Headers],[Sebastian]],1,0)</f>
        <v>0</v>
      </c>
      <c r="R62" s="1">
        <f>IF(Regions_master[[#This Row],[Forecaster]]=Regions_master[[#Headers],[Yasu]],1,0)</f>
        <v>0</v>
      </c>
      <c r="S62" s="1">
        <f>IF(Regions_master[[#This Row],[Forecaster]]=Regions_master[[#Headers],[Zhenqian]],1,0)</f>
        <v>0</v>
      </c>
      <c r="T62" s="1">
        <f>IF(Regions_master[[#This Row],[Forecaster]]=Regions_master[[#Headers],[Berna]],1,0)</f>
        <v>0</v>
      </c>
      <c r="U62" s="1">
        <f>IF(Regions_master[[#This Row],[Forecaster]]=Regions_master[[#Headers],[Julian]],1,0)</f>
        <v>1</v>
      </c>
      <c r="V62" s="1">
        <f>IF(Regions_master[[#This Row],[Forecaster]]=Regions_master[[#Headers],[Katarzyna]],1,0)</f>
        <v>0</v>
      </c>
      <c r="W62" s="1">
        <v>1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1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</v>
      </c>
      <c r="BH62" s="1">
        <v>1</v>
      </c>
      <c r="BI62" s="1">
        <v>1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1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1</v>
      </c>
      <c r="CQ62" s="1">
        <v>0</v>
      </c>
      <c r="CR62" s="1">
        <v>0</v>
      </c>
      <c r="CS62" s="1">
        <v>0</v>
      </c>
      <c r="CT62" s="1">
        <v>0</v>
      </c>
      <c r="CU62" s="1">
        <v>1</v>
      </c>
      <c r="CV62" s="1">
        <v>1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1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1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1</v>
      </c>
      <c r="DQ62" s="1">
        <v>1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1</v>
      </c>
      <c r="DZ62" s="1">
        <v>0</v>
      </c>
      <c r="EA62" s="1">
        <v>0</v>
      </c>
      <c r="EB62" s="1">
        <v>0</v>
      </c>
      <c r="EC62" s="1">
        <v>0</v>
      </c>
      <c r="ED62" s="1">
        <v>1</v>
      </c>
      <c r="EE62" s="1">
        <v>1</v>
      </c>
      <c r="EF62" s="1">
        <v>0</v>
      </c>
      <c r="EG62" s="1">
        <v>1</v>
      </c>
      <c r="EH62" s="1">
        <v>0</v>
      </c>
      <c r="EI62" s="1">
        <v>0</v>
      </c>
      <c r="EJ62" s="1">
        <v>1</v>
      </c>
      <c r="EK62" s="1">
        <v>1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1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1</v>
      </c>
      <c r="FB62" s="1">
        <v>0</v>
      </c>
      <c r="FC62" s="1">
        <v>0</v>
      </c>
      <c r="FD62" s="1">
        <v>1</v>
      </c>
      <c r="FE62" s="1">
        <v>1</v>
      </c>
      <c r="FF62" s="1">
        <v>1</v>
      </c>
      <c r="FG62" s="1">
        <v>1</v>
      </c>
      <c r="FH62" s="1">
        <v>1</v>
      </c>
      <c r="FI62" s="1">
        <v>1</v>
      </c>
      <c r="FJ62" s="1">
        <v>1</v>
      </c>
      <c r="FK62" s="1">
        <v>1</v>
      </c>
      <c r="FL62" s="1">
        <v>1</v>
      </c>
      <c r="FM62" s="1">
        <v>0</v>
      </c>
      <c r="FN62" s="1">
        <v>0</v>
      </c>
      <c r="FO62" s="1">
        <v>0</v>
      </c>
      <c r="FP62" s="1">
        <v>1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1</v>
      </c>
      <c r="FY62" s="1">
        <v>0</v>
      </c>
      <c r="FZ62" s="1">
        <v>0</v>
      </c>
      <c r="GA62" s="1">
        <v>0</v>
      </c>
      <c r="GB62" s="1">
        <v>0</v>
      </c>
      <c r="GC62" s="1">
        <v>1</v>
      </c>
      <c r="GD62" s="1">
        <v>0</v>
      </c>
      <c r="GE62" s="1">
        <v>0</v>
      </c>
      <c r="GF62" s="1">
        <v>0</v>
      </c>
      <c r="GG62" s="1">
        <v>1</v>
      </c>
      <c r="GH62" s="1">
        <v>1</v>
      </c>
      <c r="GI62" s="1">
        <v>1</v>
      </c>
      <c r="GJ62" s="1">
        <v>0</v>
      </c>
      <c r="GK62" s="1">
        <v>0</v>
      </c>
      <c r="GL62" s="1">
        <v>0</v>
      </c>
      <c r="GM62" s="1">
        <v>1</v>
      </c>
      <c r="GN62" s="1">
        <v>1</v>
      </c>
      <c r="GO62" s="1">
        <v>1</v>
      </c>
      <c r="GP62" s="1">
        <v>0</v>
      </c>
      <c r="GQ62" s="1">
        <v>1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</row>
    <row r="63" spans="1:214" x14ac:dyDescent="0.2">
      <c r="A63" s="1" t="s">
        <v>401</v>
      </c>
      <c r="B63" s="1" t="s">
        <v>401</v>
      </c>
      <c r="D63" s="1" t="s">
        <v>402</v>
      </c>
      <c r="E63" s="1" t="s">
        <v>215</v>
      </c>
      <c r="F63" s="1">
        <v>0</v>
      </c>
      <c r="G63" s="1" t="s">
        <v>244</v>
      </c>
      <c r="H63" s="1" t="s">
        <v>223</v>
      </c>
      <c r="I63" s="1" t="s">
        <v>244</v>
      </c>
      <c r="J63" s="1">
        <v>268</v>
      </c>
      <c r="K63" s="1" t="s">
        <v>23</v>
      </c>
      <c r="L63" s="1" t="s">
        <v>256</v>
      </c>
      <c r="M63" s="1" t="s">
        <v>13</v>
      </c>
      <c r="N63" s="1">
        <f>IF(Regions_master[[#This Row],[Forecaster]]=Regions_master[[#Headers],[Grigor]],1,0)</f>
        <v>1</v>
      </c>
      <c r="O63" s="1">
        <f>IF(Regions_master[[#This Row],[Forecaster]]=Regions_master[[#Headers],[Ingo]],1,0)</f>
        <v>0</v>
      </c>
      <c r="P63" s="1">
        <f>IF(Regions_master[[#This Row],[Forecaster]]=Regions_master[[#Headers],[Danyira]],1,0)</f>
        <v>0</v>
      </c>
      <c r="Q63" s="1">
        <f>IF(Regions_master[[#This Row],[Forecaster]]=Regions_master[[#Headers],[Sebastian]],1,0)</f>
        <v>0</v>
      </c>
      <c r="R63" s="1">
        <f>IF(Regions_master[[#This Row],[Forecaster]]=Regions_master[[#Headers],[Yasu]],1,0)</f>
        <v>0</v>
      </c>
      <c r="S63" s="1">
        <f>IF(Regions_master[[#This Row],[Forecaster]]=Regions_master[[#Headers],[Zhenqian]],1,0)</f>
        <v>0</v>
      </c>
      <c r="T63" s="1">
        <f>IF(Regions_master[[#This Row],[Forecaster]]=Regions_master[[#Headers],[Berna]],1,0)</f>
        <v>0</v>
      </c>
      <c r="U63" s="1">
        <f>IF(Regions_master[[#This Row],[Forecaster]]=Regions_master[[#Headers],[Julian]],1,0)</f>
        <v>0</v>
      </c>
      <c r="V63" s="1">
        <f>IF(Regions_master[[#This Row],[Forecaster]]=Regions_master[[#Headers],[Katarzyna]],1,0)</f>
        <v>0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1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1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1</v>
      </c>
      <c r="DP63" s="1">
        <v>1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1</v>
      </c>
      <c r="ED63" s="1">
        <v>0</v>
      </c>
      <c r="EE63" s="1">
        <v>1</v>
      </c>
      <c r="EF63" s="1">
        <v>1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1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1</v>
      </c>
      <c r="EZ63" s="1">
        <v>1</v>
      </c>
      <c r="FA63" s="1">
        <v>0</v>
      </c>
      <c r="FB63" s="1">
        <v>1</v>
      </c>
      <c r="FC63" s="1">
        <v>1</v>
      </c>
      <c r="FD63" s="1">
        <v>1</v>
      </c>
      <c r="FE63" s="1">
        <v>1</v>
      </c>
      <c r="FF63" s="1">
        <v>1</v>
      </c>
      <c r="FG63" s="1">
        <v>1</v>
      </c>
      <c r="FH63" s="1">
        <v>1</v>
      </c>
      <c r="FI63" s="1">
        <v>0</v>
      </c>
      <c r="FJ63" s="1">
        <v>0</v>
      </c>
      <c r="FK63" s="1">
        <v>0</v>
      </c>
      <c r="FL63" s="1">
        <v>0</v>
      </c>
      <c r="FM63" s="1">
        <v>1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1</v>
      </c>
      <c r="GE63" s="1">
        <v>0</v>
      </c>
      <c r="GF63" s="1">
        <v>1</v>
      </c>
      <c r="GG63" s="1">
        <v>0</v>
      </c>
      <c r="GH63" s="1">
        <v>0</v>
      </c>
      <c r="GI63" s="1">
        <v>0</v>
      </c>
      <c r="GJ63" s="1">
        <v>1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1</v>
      </c>
      <c r="GU63" s="1">
        <v>1</v>
      </c>
      <c r="GV63" s="1">
        <v>1</v>
      </c>
      <c r="GW63" s="1">
        <v>1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1</v>
      </c>
      <c r="HD63" s="1">
        <v>1</v>
      </c>
      <c r="HE63" s="1">
        <v>1</v>
      </c>
      <c r="HF63" s="1">
        <v>0</v>
      </c>
    </row>
    <row r="64" spans="1:214" x14ac:dyDescent="0.2">
      <c r="A64" s="1" t="s">
        <v>403</v>
      </c>
      <c r="B64" s="1" t="s">
        <v>403</v>
      </c>
      <c r="D64" s="1" t="s">
        <v>254</v>
      </c>
      <c r="E64" s="1" t="s">
        <v>215</v>
      </c>
      <c r="F64" s="1">
        <v>0</v>
      </c>
      <c r="G64" s="1" t="s">
        <v>251</v>
      </c>
      <c r="H64" s="1" t="s">
        <v>252</v>
      </c>
      <c r="I64" s="1" t="s">
        <v>253</v>
      </c>
      <c r="J64" s="1">
        <v>276</v>
      </c>
      <c r="K64" s="1" t="s">
        <v>22</v>
      </c>
      <c r="L64" s="1" t="s">
        <v>261</v>
      </c>
      <c r="M64" s="1" t="s">
        <v>14</v>
      </c>
      <c r="N64" s="1">
        <f>IF(Regions_master[[#This Row],[Forecaster]]=Regions_master[[#Headers],[Grigor]],1,0)</f>
        <v>0</v>
      </c>
      <c r="O64" s="1">
        <f>IF(Regions_master[[#This Row],[Forecaster]]=Regions_master[[#Headers],[Ingo]],1,0)</f>
        <v>1</v>
      </c>
      <c r="P64" s="1">
        <f>IF(Regions_master[[#This Row],[Forecaster]]=Regions_master[[#Headers],[Danyira]],1,0)</f>
        <v>0</v>
      </c>
      <c r="Q64" s="1">
        <f>IF(Regions_master[[#This Row],[Forecaster]]=Regions_master[[#Headers],[Sebastian]],1,0)</f>
        <v>0</v>
      </c>
      <c r="R64" s="1">
        <f>IF(Regions_master[[#This Row],[Forecaster]]=Regions_master[[#Headers],[Yasu]],1,0)</f>
        <v>0</v>
      </c>
      <c r="S64" s="1">
        <f>IF(Regions_master[[#This Row],[Forecaster]]=Regions_master[[#Headers],[Zhenqian]],1,0)</f>
        <v>0</v>
      </c>
      <c r="T64" s="1">
        <f>IF(Regions_master[[#This Row],[Forecaster]]=Regions_master[[#Headers],[Berna]],1,0)</f>
        <v>0</v>
      </c>
      <c r="U64" s="1">
        <f>IF(Regions_master[[#This Row],[Forecaster]]=Regions_master[[#Headers],[Julian]],1,0)</f>
        <v>0</v>
      </c>
      <c r="V64" s="1">
        <f>IF(Regions_master[[#This Row],[Forecaster]]=Regions_master[[#Headers],[Katarzyna]],1,0)</f>
        <v>0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0</v>
      </c>
      <c r="AI64" s="1">
        <v>1</v>
      </c>
      <c r="AJ64" s="1">
        <v>0</v>
      </c>
      <c r="AK64" s="1">
        <v>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1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1</v>
      </c>
      <c r="ED64" s="1">
        <v>0</v>
      </c>
      <c r="EE64" s="1">
        <v>0</v>
      </c>
      <c r="EF64" s="1">
        <v>1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1</v>
      </c>
      <c r="FC64" s="1">
        <v>0</v>
      </c>
      <c r="FD64" s="1">
        <v>1</v>
      </c>
      <c r="FE64" s="1">
        <v>1</v>
      </c>
      <c r="FF64" s="1">
        <v>1</v>
      </c>
      <c r="FG64" s="1">
        <v>1</v>
      </c>
      <c r="FH64" s="1">
        <v>1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1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1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</row>
    <row r="65" spans="1:214" x14ac:dyDescent="0.2">
      <c r="A65" s="1" t="s">
        <v>404</v>
      </c>
      <c r="B65" s="1" t="s">
        <v>404</v>
      </c>
      <c r="D65" s="1" t="s">
        <v>405</v>
      </c>
      <c r="E65" s="1" t="s">
        <v>215</v>
      </c>
      <c r="F65" s="1">
        <v>0</v>
      </c>
      <c r="G65" s="1" t="s">
        <v>227</v>
      </c>
      <c r="H65" s="1" t="s">
        <v>280</v>
      </c>
      <c r="I65" s="1" t="s">
        <v>281</v>
      </c>
      <c r="J65" s="1">
        <v>288</v>
      </c>
      <c r="K65" s="1" t="s">
        <v>24</v>
      </c>
      <c r="L65" s="1" t="s">
        <v>219</v>
      </c>
      <c r="M65" s="1" t="s">
        <v>19</v>
      </c>
      <c r="N65" s="1">
        <f>IF(Regions_master[[#This Row],[Forecaster]]=Regions_master[[#Headers],[Grigor]],1,0)</f>
        <v>0</v>
      </c>
      <c r="O65" s="1">
        <f>IF(Regions_master[[#This Row],[Forecaster]]=Regions_master[[#Headers],[Ingo]],1,0)</f>
        <v>0</v>
      </c>
      <c r="P65" s="1">
        <f>IF(Regions_master[[#This Row],[Forecaster]]=Regions_master[[#Headers],[Danyira]],1,0)</f>
        <v>0</v>
      </c>
      <c r="Q65" s="1">
        <f>IF(Regions_master[[#This Row],[Forecaster]]=Regions_master[[#Headers],[Sebastian]],1,0)</f>
        <v>0</v>
      </c>
      <c r="R65" s="1">
        <f>IF(Regions_master[[#This Row],[Forecaster]]=Regions_master[[#Headers],[Yasu]],1,0)</f>
        <v>0</v>
      </c>
      <c r="S65" s="1">
        <f>IF(Regions_master[[#This Row],[Forecaster]]=Regions_master[[#Headers],[Zhenqian]],1,0)</f>
        <v>0</v>
      </c>
      <c r="T65" s="1">
        <f>IF(Regions_master[[#This Row],[Forecaster]]=Regions_master[[#Headers],[Berna]],1,0)</f>
        <v>0</v>
      </c>
      <c r="U65" s="1">
        <f>IF(Regions_master[[#This Row],[Forecaster]]=Regions_master[[#Headers],[Julian]],1,0)</f>
        <v>1</v>
      </c>
      <c r="V65" s="1">
        <f>IF(Regions_master[[#This Row],[Forecaster]]=Regions_master[[#Headers],[Katarzyna]],1,0)</f>
        <v>0</v>
      </c>
      <c r="W65" s="1">
        <v>1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1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</v>
      </c>
      <c r="BD65" s="1">
        <v>0</v>
      </c>
      <c r="BE65" s="1">
        <v>0</v>
      </c>
      <c r="BF65" s="1">
        <v>1</v>
      </c>
      <c r="BG65" s="1">
        <v>0</v>
      </c>
      <c r="BH65" s="1">
        <v>0</v>
      </c>
      <c r="BI65" s="1">
        <v>1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1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1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1</v>
      </c>
      <c r="CQ65" s="1">
        <v>0</v>
      </c>
      <c r="CR65" s="1">
        <v>0</v>
      </c>
      <c r="CS65" s="1">
        <v>0</v>
      </c>
      <c r="CT65" s="1">
        <v>0</v>
      </c>
      <c r="CU65" s="1">
        <v>1</v>
      </c>
      <c r="CV65" s="1">
        <v>1</v>
      </c>
      <c r="CW65" s="1">
        <v>0</v>
      </c>
      <c r="CX65" s="1">
        <v>0</v>
      </c>
      <c r="CY65" s="1">
        <v>0</v>
      </c>
      <c r="CZ65" s="1">
        <v>0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1</v>
      </c>
      <c r="DQ65" s="1">
        <v>1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1</v>
      </c>
      <c r="DZ65" s="1">
        <v>0</v>
      </c>
      <c r="EA65" s="1">
        <v>0</v>
      </c>
      <c r="EB65" s="1">
        <v>0</v>
      </c>
      <c r="EC65" s="1">
        <v>1</v>
      </c>
      <c r="ED65" s="1">
        <v>0</v>
      </c>
      <c r="EE65" s="1">
        <v>0</v>
      </c>
      <c r="EF65" s="1">
        <v>0</v>
      </c>
      <c r="EG65" s="1">
        <v>0</v>
      </c>
      <c r="EH65" s="1">
        <v>1</v>
      </c>
      <c r="EI65" s="1">
        <v>0</v>
      </c>
      <c r="EJ65" s="1">
        <v>0</v>
      </c>
      <c r="EK65" s="1">
        <v>1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1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1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1</v>
      </c>
      <c r="FE65" s="1">
        <v>1</v>
      </c>
      <c r="FF65" s="1">
        <v>1</v>
      </c>
      <c r="FG65" s="1">
        <v>1</v>
      </c>
      <c r="FH65" s="1">
        <v>1</v>
      </c>
      <c r="FI65" s="1">
        <v>1</v>
      </c>
      <c r="FJ65" s="1">
        <v>1</v>
      </c>
      <c r="FK65" s="1">
        <v>1</v>
      </c>
      <c r="FL65" s="1">
        <v>1</v>
      </c>
      <c r="FM65" s="1">
        <v>0</v>
      </c>
      <c r="FN65" s="1">
        <v>0</v>
      </c>
      <c r="FO65" s="1">
        <v>0</v>
      </c>
      <c r="FP65" s="1">
        <v>1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1</v>
      </c>
      <c r="GD65" s="1">
        <v>0</v>
      </c>
      <c r="GE65" s="1">
        <v>0</v>
      </c>
      <c r="GF65" s="1">
        <v>0</v>
      </c>
      <c r="GG65" s="1">
        <v>0</v>
      </c>
      <c r="GH65" s="1">
        <v>1</v>
      </c>
      <c r="GI65" s="1">
        <v>0</v>
      </c>
      <c r="GJ65" s="1">
        <v>0</v>
      </c>
      <c r="GK65" s="1">
        <v>1</v>
      </c>
      <c r="GL65" s="1">
        <v>1</v>
      </c>
      <c r="GM65" s="1">
        <v>0</v>
      </c>
      <c r="GN65" s="1">
        <v>1</v>
      </c>
      <c r="GO65" s="1">
        <v>0</v>
      </c>
      <c r="GP65" s="1">
        <v>0</v>
      </c>
      <c r="GQ65" s="1">
        <v>1</v>
      </c>
      <c r="GR65" s="1">
        <v>0</v>
      </c>
      <c r="GS65" s="1">
        <v>1</v>
      </c>
      <c r="GT65" s="1">
        <v>1</v>
      </c>
      <c r="GU65" s="1">
        <v>1</v>
      </c>
      <c r="GV65" s="1">
        <v>1</v>
      </c>
      <c r="GW65" s="1">
        <v>1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1</v>
      </c>
      <c r="HD65" s="1">
        <v>1</v>
      </c>
      <c r="HE65" s="1">
        <v>0</v>
      </c>
      <c r="HF65" s="1">
        <v>0</v>
      </c>
    </row>
    <row r="66" spans="1:214" x14ac:dyDescent="0.2">
      <c r="A66" s="1" t="s">
        <v>406</v>
      </c>
      <c r="B66" s="1" t="s">
        <v>406</v>
      </c>
      <c r="D66" s="1" t="s">
        <v>407</v>
      </c>
      <c r="E66" s="1" t="s">
        <v>215</v>
      </c>
      <c r="F66" s="1">
        <v>0</v>
      </c>
      <c r="G66" s="1" t="s">
        <v>251</v>
      </c>
      <c r="H66" s="1" t="s">
        <v>252</v>
      </c>
      <c r="I66" s="1" t="s">
        <v>253</v>
      </c>
      <c r="J66" s="1">
        <v>300</v>
      </c>
      <c r="K66" s="1" t="s">
        <v>22</v>
      </c>
      <c r="L66" s="1" t="s">
        <v>254</v>
      </c>
      <c r="M66" s="1" t="s">
        <v>14</v>
      </c>
      <c r="N66" s="1">
        <f>IF(Regions_master[[#This Row],[Forecaster]]=Regions_master[[#Headers],[Grigor]],1,0)</f>
        <v>0</v>
      </c>
      <c r="O66" s="1">
        <f>IF(Regions_master[[#This Row],[Forecaster]]=Regions_master[[#Headers],[Ingo]],1,0)</f>
        <v>1</v>
      </c>
      <c r="P66" s="1">
        <f>IF(Regions_master[[#This Row],[Forecaster]]=Regions_master[[#Headers],[Danyira]],1,0)</f>
        <v>0</v>
      </c>
      <c r="Q66" s="1">
        <f>IF(Regions_master[[#This Row],[Forecaster]]=Regions_master[[#Headers],[Sebastian]],1,0)</f>
        <v>0</v>
      </c>
      <c r="R66" s="1">
        <f>IF(Regions_master[[#This Row],[Forecaster]]=Regions_master[[#Headers],[Yasu]],1,0)</f>
        <v>0</v>
      </c>
      <c r="S66" s="1">
        <f>IF(Regions_master[[#This Row],[Forecaster]]=Regions_master[[#Headers],[Zhenqian]],1,0)</f>
        <v>0</v>
      </c>
      <c r="T66" s="1">
        <f>IF(Regions_master[[#This Row],[Forecaster]]=Regions_master[[#Headers],[Berna]],1,0)</f>
        <v>0</v>
      </c>
      <c r="U66" s="1">
        <f>IF(Regions_master[[#This Row],[Forecaster]]=Regions_master[[#Headers],[Julian]],1,0)</f>
        <v>0</v>
      </c>
      <c r="V66" s="1">
        <f>IF(Regions_master[[#This Row],[Forecaster]]=Regions_master[[#Headers],[Katarzyna]],1,0)</f>
        <v>0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1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1</v>
      </c>
      <c r="CU66" s="1">
        <v>0</v>
      </c>
      <c r="CV66" s="1">
        <v>1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1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1</v>
      </c>
      <c r="EE66" s="1">
        <v>1</v>
      </c>
      <c r="EF66" s="1">
        <v>1</v>
      </c>
      <c r="EG66" s="1">
        <v>0</v>
      </c>
      <c r="EH66" s="1">
        <v>1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1</v>
      </c>
      <c r="EY66" s="1">
        <v>0</v>
      </c>
      <c r="EZ66" s="1">
        <v>0</v>
      </c>
      <c r="FA66" s="1">
        <v>1</v>
      </c>
      <c r="FB66" s="1">
        <v>1</v>
      </c>
      <c r="FC66" s="1">
        <v>0</v>
      </c>
      <c r="FD66" s="1">
        <v>1</v>
      </c>
      <c r="FE66" s="1">
        <v>1</v>
      </c>
      <c r="FF66" s="1">
        <v>1</v>
      </c>
      <c r="FG66" s="1">
        <v>1</v>
      </c>
      <c r="FH66" s="1">
        <v>1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1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1</v>
      </c>
      <c r="GH66" s="1">
        <v>1</v>
      </c>
      <c r="GI66" s="1">
        <v>0</v>
      </c>
      <c r="GJ66" s="1">
        <v>1</v>
      </c>
      <c r="GK66" s="1">
        <v>1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</row>
    <row r="67" spans="1:214" x14ac:dyDescent="0.2">
      <c r="A67" s="1" t="s">
        <v>408</v>
      </c>
      <c r="B67" s="1" t="s">
        <v>408</v>
      </c>
      <c r="D67" s="1" t="s">
        <v>409</v>
      </c>
      <c r="E67" s="1" t="s">
        <v>215</v>
      </c>
      <c r="F67" s="1">
        <v>0</v>
      </c>
      <c r="G67" s="1" t="s">
        <v>238</v>
      </c>
      <c r="H67" s="1" t="s">
        <v>342</v>
      </c>
      <c r="I67" s="1" t="s">
        <v>343</v>
      </c>
      <c r="J67" s="1">
        <v>320</v>
      </c>
      <c r="K67" s="1" t="s">
        <v>24</v>
      </c>
      <c r="L67" s="1" t="s">
        <v>261</v>
      </c>
      <c r="M67" s="1" t="s">
        <v>16</v>
      </c>
      <c r="N67" s="1">
        <f>IF(Regions_master[[#This Row],[Forecaster]]=Regions_master[[#Headers],[Grigor]],1,0)</f>
        <v>0</v>
      </c>
      <c r="O67" s="1">
        <f>IF(Regions_master[[#This Row],[Forecaster]]=Regions_master[[#Headers],[Ingo]],1,0)</f>
        <v>0</v>
      </c>
      <c r="P67" s="1">
        <f>IF(Regions_master[[#This Row],[Forecaster]]=Regions_master[[#Headers],[Danyira]],1,0)</f>
        <v>0</v>
      </c>
      <c r="Q67" s="1">
        <f>IF(Regions_master[[#This Row],[Forecaster]]=Regions_master[[#Headers],[Sebastian]],1,0)</f>
        <v>1</v>
      </c>
      <c r="R67" s="1">
        <f>IF(Regions_master[[#This Row],[Forecaster]]=Regions_master[[#Headers],[Yasu]],1,0)</f>
        <v>0</v>
      </c>
      <c r="S67" s="1">
        <f>IF(Regions_master[[#This Row],[Forecaster]]=Regions_master[[#Headers],[Zhenqian]],1,0)</f>
        <v>0</v>
      </c>
      <c r="T67" s="1">
        <f>IF(Regions_master[[#This Row],[Forecaster]]=Regions_master[[#Headers],[Berna]],1,0)</f>
        <v>0</v>
      </c>
      <c r="U67" s="1">
        <f>IF(Regions_master[[#This Row],[Forecaster]]=Regions_master[[#Headers],[Julian]],1,0)</f>
        <v>0</v>
      </c>
      <c r="V67" s="1">
        <f>IF(Regions_master[[#This Row],[Forecaster]]=Regions_master[[#Headers],[Katarzyna]],1,0)</f>
        <v>0</v>
      </c>
      <c r="W67" s="1">
        <v>1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1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1</v>
      </c>
      <c r="CS67" s="1">
        <v>0</v>
      </c>
      <c r="CT67" s="1">
        <v>0</v>
      </c>
      <c r="CU67" s="1">
        <v>1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1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1</v>
      </c>
      <c r="DQ67" s="1">
        <v>1</v>
      </c>
      <c r="DR67" s="1">
        <v>1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1</v>
      </c>
      <c r="EE67" s="1">
        <v>0</v>
      </c>
      <c r="EF67" s="1">
        <v>1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1</v>
      </c>
      <c r="EP67" s="1">
        <v>0</v>
      </c>
      <c r="EQ67" s="1">
        <v>0</v>
      </c>
      <c r="ER67" s="1">
        <v>0</v>
      </c>
      <c r="ES67" s="1">
        <v>1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1</v>
      </c>
      <c r="FB67" s="1">
        <v>1</v>
      </c>
      <c r="FC67" s="1">
        <v>0</v>
      </c>
      <c r="FD67" s="1">
        <v>1</v>
      </c>
      <c r="FE67" s="1">
        <v>1</v>
      </c>
      <c r="FF67" s="1">
        <v>1</v>
      </c>
      <c r="FG67" s="1">
        <v>1</v>
      </c>
      <c r="FH67" s="1">
        <v>1</v>
      </c>
      <c r="FI67" s="1">
        <v>1</v>
      </c>
      <c r="FJ67" s="1">
        <v>1</v>
      </c>
      <c r="FK67" s="1">
        <v>1</v>
      </c>
      <c r="FL67" s="1">
        <v>1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1</v>
      </c>
      <c r="FW67" s="1">
        <v>0</v>
      </c>
      <c r="FX67" s="1">
        <v>0</v>
      </c>
      <c r="FY67" s="1">
        <v>0</v>
      </c>
      <c r="FZ67" s="1">
        <v>0</v>
      </c>
      <c r="GA67" s="1">
        <v>1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1</v>
      </c>
      <c r="GH67" s="1">
        <v>0</v>
      </c>
      <c r="GI67" s="1">
        <v>0</v>
      </c>
      <c r="GJ67" s="1">
        <v>1</v>
      </c>
      <c r="GK67" s="1">
        <v>0</v>
      </c>
      <c r="GL67" s="1">
        <v>0</v>
      </c>
      <c r="GM67" s="1">
        <v>0</v>
      </c>
      <c r="GN67" s="1">
        <v>1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1</v>
      </c>
      <c r="GU67" s="1">
        <v>1</v>
      </c>
      <c r="GV67" s="1">
        <v>1</v>
      </c>
      <c r="GW67" s="1">
        <v>1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1</v>
      </c>
      <c r="HD67" s="1">
        <v>1</v>
      </c>
      <c r="HE67" s="1">
        <v>1</v>
      </c>
      <c r="HF67" s="1">
        <v>0</v>
      </c>
    </row>
    <row r="68" spans="1:214" x14ac:dyDescent="0.2">
      <c r="A68" s="1" t="s">
        <v>410</v>
      </c>
      <c r="B68" s="1" t="s">
        <v>410</v>
      </c>
      <c r="D68" s="1" t="s">
        <v>411</v>
      </c>
      <c r="E68" s="1" t="s">
        <v>215</v>
      </c>
      <c r="F68" s="1">
        <v>0</v>
      </c>
      <c r="G68" s="1" t="s">
        <v>227</v>
      </c>
      <c r="H68" s="1" t="s">
        <v>280</v>
      </c>
      <c r="I68" s="1" t="s">
        <v>281</v>
      </c>
      <c r="J68" s="1">
        <v>324</v>
      </c>
      <c r="K68" s="1" t="s">
        <v>24</v>
      </c>
      <c r="L68" s="1" t="s">
        <v>235</v>
      </c>
      <c r="M68" s="1" t="s">
        <v>19</v>
      </c>
      <c r="N68" s="1">
        <f>IF(Regions_master[[#This Row],[Forecaster]]=Regions_master[[#Headers],[Grigor]],1,0)</f>
        <v>0</v>
      </c>
      <c r="O68" s="1">
        <f>IF(Regions_master[[#This Row],[Forecaster]]=Regions_master[[#Headers],[Ingo]],1,0)</f>
        <v>0</v>
      </c>
      <c r="P68" s="1">
        <f>IF(Regions_master[[#This Row],[Forecaster]]=Regions_master[[#Headers],[Danyira]],1,0)</f>
        <v>0</v>
      </c>
      <c r="Q68" s="1">
        <f>IF(Regions_master[[#This Row],[Forecaster]]=Regions_master[[#Headers],[Sebastian]],1,0)</f>
        <v>0</v>
      </c>
      <c r="R68" s="1">
        <f>IF(Regions_master[[#This Row],[Forecaster]]=Regions_master[[#Headers],[Yasu]],1,0)</f>
        <v>0</v>
      </c>
      <c r="S68" s="1">
        <f>IF(Regions_master[[#This Row],[Forecaster]]=Regions_master[[#Headers],[Zhenqian]],1,0)</f>
        <v>0</v>
      </c>
      <c r="T68" s="1">
        <f>IF(Regions_master[[#This Row],[Forecaster]]=Regions_master[[#Headers],[Berna]],1,0)</f>
        <v>0</v>
      </c>
      <c r="U68" s="1">
        <f>IF(Regions_master[[#This Row],[Forecaster]]=Regions_master[[#Headers],[Julian]],1,0)</f>
        <v>1</v>
      </c>
      <c r="V68" s="1">
        <f>IF(Regions_master[[#This Row],[Forecaster]]=Regions_master[[#Headers],[Katarzyna]],1,0)</f>
        <v>0</v>
      </c>
      <c r="W68" s="1">
        <v>1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1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</v>
      </c>
      <c r="BG68" s="1">
        <v>0</v>
      </c>
      <c r="BH68" s="1">
        <v>1</v>
      </c>
      <c r="BI68" s="1">
        <v>1</v>
      </c>
      <c r="BJ68" s="1">
        <v>1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1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1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1</v>
      </c>
      <c r="CQ68" s="1">
        <v>0</v>
      </c>
      <c r="CR68" s="1">
        <v>0</v>
      </c>
      <c r="CS68" s="1">
        <v>0</v>
      </c>
      <c r="CT68" s="1">
        <v>0</v>
      </c>
      <c r="CU68" s="1">
        <v>1</v>
      </c>
      <c r="CV68" s="1">
        <v>1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1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1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1</v>
      </c>
      <c r="DQ68" s="1">
        <v>1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1</v>
      </c>
      <c r="DZ68" s="1">
        <v>0</v>
      </c>
      <c r="EA68" s="1">
        <v>0</v>
      </c>
      <c r="EB68" s="1">
        <v>0</v>
      </c>
      <c r="EC68" s="1">
        <v>0</v>
      </c>
      <c r="ED68" s="1">
        <v>1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1</v>
      </c>
      <c r="EK68" s="1">
        <v>1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1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1</v>
      </c>
      <c r="EY68" s="1">
        <v>0</v>
      </c>
      <c r="EZ68" s="1">
        <v>0</v>
      </c>
      <c r="FA68" s="1">
        <v>1</v>
      </c>
      <c r="FB68" s="1">
        <v>0</v>
      </c>
      <c r="FC68" s="1">
        <v>0</v>
      </c>
      <c r="FD68" s="1">
        <v>1</v>
      </c>
      <c r="FE68" s="1">
        <v>1</v>
      </c>
      <c r="FF68" s="1">
        <v>1</v>
      </c>
      <c r="FG68" s="1">
        <v>1</v>
      </c>
      <c r="FH68" s="1">
        <v>1</v>
      </c>
      <c r="FI68" s="1">
        <v>1</v>
      </c>
      <c r="FJ68" s="1">
        <v>1</v>
      </c>
      <c r="FK68" s="1">
        <v>1</v>
      </c>
      <c r="FL68" s="1">
        <v>1</v>
      </c>
      <c r="FM68" s="1">
        <v>0</v>
      </c>
      <c r="FN68" s="1">
        <v>0</v>
      </c>
      <c r="FO68" s="1">
        <v>0</v>
      </c>
      <c r="FP68" s="1">
        <v>1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1</v>
      </c>
      <c r="FY68" s="1">
        <v>0</v>
      </c>
      <c r="FZ68" s="1">
        <v>0</v>
      </c>
      <c r="GA68" s="1">
        <v>0</v>
      </c>
      <c r="GB68" s="1">
        <v>0</v>
      </c>
      <c r="GC68" s="1">
        <v>1</v>
      </c>
      <c r="GD68" s="1">
        <v>0</v>
      </c>
      <c r="GE68" s="1">
        <v>0</v>
      </c>
      <c r="GF68" s="1">
        <v>0</v>
      </c>
      <c r="GG68" s="1">
        <v>1</v>
      </c>
      <c r="GH68" s="1">
        <v>1</v>
      </c>
      <c r="GI68" s="1">
        <v>0</v>
      </c>
      <c r="GJ68" s="1">
        <v>0</v>
      </c>
      <c r="GK68" s="1">
        <v>0</v>
      </c>
      <c r="GL68" s="1">
        <v>1</v>
      </c>
      <c r="GM68" s="1">
        <v>0</v>
      </c>
      <c r="GN68" s="1">
        <v>1</v>
      </c>
      <c r="GO68" s="1">
        <v>1</v>
      </c>
      <c r="GP68" s="1">
        <v>0</v>
      </c>
      <c r="GQ68" s="1">
        <v>1</v>
      </c>
      <c r="GR68" s="1">
        <v>0</v>
      </c>
      <c r="GS68" s="1">
        <v>1</v>
      </c>
      <c r="GT68" s="1">
        <v>1</v>
      </c>
      <c r="GU68" s="1">
        <v>1</v>
      </c>
      <c r="GV68" s="1">
        <v>1</v>
      </c>
      <c r="GW68" s="1">
        <v>1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1</v>
      </c>
      <c r="HD68" s="1">
        <v>1</v>
      </c>
      <c r="HE68" s="1">
        <v>0</v>
      </c>
      <c r="HF68" s="1">
        <v>0</v>
      </c>
    </row>
    <row r="69" spans="1:214" x14ac:dyDescent="0.2">
      <c r="A69" s="1" t="s">
        <v>412</v>
      </c>
      <c r="B69" s="1" t="s">
        <v>413</v>
      </c>
      <c r="D69" s="1" t="s">
        <v>400</v>
      </c>
      <c r="E69" s="1" t="s">
        <v>215</v>
      </c>
      <c r="F69" s="1">
        <v>0</v>
      </c>
      <c r="G69" s="1" t="s">
        <v>227</v>
      </c>
      <c r="H69" s="1" t="s">
        <v>280</v>
      </c>
      <c r="I69" s="1" t="s">
        <v>281</v>
      </c>
      <c r="J69" s="1">
        <v>624</v>
      </c>
      <c r="K69" s="1" t="s">
        <v>24</v>
      </c>
      <c r="L69" s="1" t="s">
        <v>219</v>
      </c>
      <c r="M69" s="1" t="s">
        <v>19</v>
      </c>
      <c r="N69" s="1">
        <f>IF(Regions_master[[#This Row],[Forecaster]]=Regions_master[[#Headers],[Grigor]],1,0)</f>
        <v>0</v>
      </c>
      <c r="O69" s="1">
        <f>IF(Regions_master[[#This Row],[Forecaster]]=Regions_master[[#Headers],[Ingo]],1,0)</f>
        <v>0</v>
      </c>
      <c r="P69" s="1">
        <f>IF(Regions_master[[#This Row],[Forecaster]]=Regions_master[[#Headers],[Danyira]],1,0)</f>
        <v>0</v>
      </c>
      <c r="Q69" s="1">
        <f>IF(Regions_master[[#This Row],[Forecaster]]=Regions_master[[#Headers],[Sebastian]],1,0)</f>
        <v>0</v>
      </c>
      <c r="R69" s="1">
        <f>IF(Regions_master[[#This Row],[Forecaster]]=Regions_master[[#Headers],[Yasu]],1,0)</f>
        <v>0</v>
      </c>
      <c r="S69" s="1">
        <f>IF(Regions_master[[#This Row],[Forecaster]]=Regions_master[[#Headers],[Zhenqian]],1,0)</f>
        <v>0</v>
      </c>
      <c r="T69" s="1">
        <f>IF(Regions_master[[#This Row],[Forecaster]]=Regions_master[[#Headers],[Berna]],1,0)</f>
        <v>0</v>
      </c>
      <c r="U69" s="1">
        <f>IF(Regions_master[[#This Row],[Forecaster]]=Regions_master[[#Headers],[Julian]],1,0)</f>
        <v>1</v>
      </c>
      <c r="V69" s="1">
        <f>IF(Regions_master[[#This Row],[Forecaster]]=Regions_master[[#Headers],[Katarzyna]],1,0)</f>
        <v>0</v>
      </c>
      <c r="W69" s="1">
        <v>1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1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</v>
      </c>
      <c r="BH69" s="1">
        <v>1</v>
      </c>
      <c r="BI69" s="1">
        <v>1</v>
      </c>
      <c r="BJ69" s="1">
        <v>1</v>
      </c>
      <c r="BK69" s="1">
        <v>0</v>
      </c>
      <c r="BL69" s="1">
        <v>1</v>
      </c>
      <c r="BM69" s="1">
        <v>0</v>
      </c>
      <c r="BN69" s="1">
        <v>0</v>
      </c>
      <c r="BO69" s="1">
        <v>0</v>
      </c>
      <c r="BP69" s="1">
        <v>0</v>
      </c>
      <c r="BQ69" s="1">
        <v>1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1</v>
      </c>
      <c r="CQ69" s="1">
        <v>0</v>
      </c>
      <c r="CR69" s="1">
        <v>0</v>
      </c>
      <c r="CS69" s="1">
        <v>0</v>
      </c>
      <c r="CT69" s="1">
        <v>0</v>
      </c>
      <c r="CU69" s="1">
        <v>1</v>
      </c>
      <c r="CV69" s="1">
        <v>1</v>
      </c>
      <c r="CW69" s="1">
        <v>1</v>
      </c>
      <c r="CX69" s="1">
        <v>0</v>
      </c>
      <c r="CY69" s="1">
        <v>0</v>
      </c>
      <c r="CZ69" s="1">
        <v>0</v>
      </c>
      <c r="DA69" s="1">
        <v>0</v>
      </c>
      <c r="DB69" s="1">
        <v>1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1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1</v>
      </c>
      <c r="DQ69" s="1">
        <v>1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1</v>
      </c>
      <c r="DZ69" s="1">
        <v>0</v>
      </c>
      <c r="EA69" s="1">
        <v>0</v>
      </c>
      <c r="EB69" s="1">
        <v>0</v>
      </c>
      <c r="EC69" s="1">
        <v>1</v>
      </c>
      <c r="ED69" s="1">
        <v>0</v>
      </c>
      <c r="EE69" s="1">
        <v>0</v>
      </c>
      <c r="EF69" s="1">
        <v>0</v>
      </c>
      <c r="EG69" s="1">
        <v>1</v>
      </c>
      <c r="EH69" s="1">
        <v>0</v>
      </c>
      <c r="EI69" s="1">
        <v>1</v>
      </c>
      <c r="EJ69" s="1">
        <v>1</v>
      </c>
      <c r="EK69" s="1">
        <v>1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1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1</v>
      </c>
      <c r="FE69" s="1">
        <v>1</v>
      </c>
      <c r="FF69" s="1">
        <v>1</v>
      </c>
      <c r="FG69" s="1">
        <v>1</v>
      </c>
      <c r="FH69" s="1">
        <v>1</v>
      </c>
      <c r="FI69" s="1">
        <v>1</v>
      </c>
      <c r="FJ69" s="1">
        <v>1</v>
      </c>
      <c r="FK69" s="1">
        <v>1</v>
      </c>
      <c r="FL69" s="1">
        <v>1</v>
      </c>
      <c r="FM69" s="1">
        <v>0</v>
      </c>
      <c r="FN69" s="1">
        <v>0</v>
      </c>
      <c r="FO69" s="1">
        <v>0</v>
      </c>
      <c r="FP69" s="1">
        <v>1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1</v>
      </c>
      <c r="FY69" s="1">
        <v>0</v>
      </c>
      <c r="FZ69" s="1">
        <v>0</v>
      </c>
      <c r="GA69" s="1">
        <v>0</v>
      </c>
      <c r="GB69" s="1">
        <v>0</v>
      </c>
      <c r="GC69" s="1">
        <v>1</v>
      </c>
      <c r="GD69" s="1">
        <v>0</v>
      </c>
      <c r="GE69" s="1">
        <v>0</v>
      </c>
      <c r="GF69" s="1">
        <v>0</v>
      </c>
      <c r="GG69" s="1">
        <v>0</v>
      </c>
      <c r="GH69" s="1">
        <v>1</v>
      </c>
      <c r="GI69" s="1">
        <v>1</v>
      </c>
      <c r="GJ69" s="1">
        <v>0</v>
      </c>
      <c r="GK69" s="1">
        <v>0</v>
      </c>
      <c r="GL69" s="1">
        <v>0</v>
      </c>
      <c r="GM69" s="1">
        <v>1</v>
      </c>
      <c r="GN69" s="1">
        <v>1</v>
      </c>
      <c r="GO69" s="1">
        <v>1</v>
      </c>
      <c r="GP69" s="1">
        <v>0</v>
      </c>
      <c r="GQ69" s="1">
        <v>1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1</v>
      </c>
      <c r="GZ69" s="1">
        <v>1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</row>
    <row r="70" spans="1:214" x14ac:dyDescent="0.2">
      <c r="A70" s="1" t="s">
        <v>414</v>
      </c>
      <c r="B70" s="1" t="s">
        <v>414</v>
      </c>
      <c r="D70" s="1" t="s">
        <v>415</v>
      </c>
      <c r="E70" s="1" t="s">
        <v>215</v>
      </c>
      <c r="F70" s="1">
        <v>0</v>
      </c>
      <c r="G70" s="1" t="s">
        <v>238</v>
      </c>
      <c r="H70" s="1" t="s">
        <v>259</v>
      </c>
      <c r="I70" s="1" t="s">
        <v>260</v>
      </c>
      <c r="J70" s="1">
        <v>328</v>
      </c>
      <c r="K70" s="1" t="s">
        <v>24</v>
      </c>
      <c r="L70" s="1" t="s">
        <v>321</v>
      </c>
      <c r="M70" s="1" t="s">
        <v>16</v>
      </c>
      <c r="N70" s="1">
        <f>IF(Regions_master[[#This Row],[Forecaster]]=Regions_master[[#Headers],[Grigor]],1,0)</f>
        <v>0</v>
      </c>
      <c r="O70" s="1">
        <f>IF(Regions_master[[#This Row],[Forecaster]]=Regions_master[[#Headers],[Ingo]],1,0)</f>
        <v>0</v>
      </c>
      <c r="P70" s="1">
        <f>IF(Regions_master[[#This Row],[Forecaster]]=Regions_master[[#Headers],[Danyira]],1,0)</f>
        <v>0</v>
      </c>
      <c r="Q70" s="1">
        <f>IF(Regions_master[[#This Row],[Forecaster]]=Regions_master[[#Headers],[Sebastian]],1,0)</f>
        <v>1</v>
      </c>
      <c r="R70" s="1">
        <f>IF(Regions_master[[#This Row],[Forecaster]]=Regions_master[[#Headers],[Yasu]],1,0)</f>
        <v>0</v>
      </c>
      <c r="S70" s="1">
        <f>IF(Regions_master[[#This Row],[Forecaster]]=Regions_master[[#Headers],[Zhenqian]],1,0)</f>
        <v>0</v>
      </c>
      <c r="T70" s="1">
        <f>IF(Regions_master[[#This Row],[Forecaster]]=Regions_master[[#Headers],[Berna]],1,0)</f>
        <v>0</v>
      </c>
      <c r="U70" s="1">
        <f>IF(Regions_master[[#This Row],[Forecaster]]=Regions_master[[#Headers],[Julian]],1,0)</f>
        <v>0</v>
      </c>
      <c r="V70" s="1">
        <f>IF(Regions_master[[#This Row],[Forecaster]]=Regions_master[[#Headers],[Katarzyna]],1,0)</f>
        <v>0</v>
      </c>
      <c r="W70" s="1">
        <v>1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1</v>
      </c>
      <c r="BA70" s="1">
        <v>0</v>
      </c>
      <c r="BB70" s="1">
        <v>0</v>
      </c>
      <c r="BC70" s="1">
        <v>1</v>
      </c>
      <c r="BD70" s="1">
        <v>1</v>
      </c>
      <c r="BE70" s="1">
        <v>0</v>
      </c>
      <c r="BF70" s="1">
        <v>0</v>
      </c>
      <c r="BG70" s="1">
        <v>0</v>
      </c>
      <c r="BH70" s="1">
        <v>0</v>
      </c>
      <c r="BI70" s="1">
        <v>1</v>
      </c>
      <c r="BJ70" s="1">
        <v>1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1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1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1</v>
      </c>
      <c r="CT70" s="1">
        <v>0</v>
      </c>
      <c r="CU70" s="1">
        <v>1</v>
      </c>
      <c r="CV70" s="1">
        <v>1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1</v>
      </c>
      <c r="DQ70" s="1">
        <v>1</v>
      </c>
      <c r="DR70" s="1">
        <v>1</v>
      </c>
      <c r="DS70" s="1">
        <v>0</v>
      </c>
      <c r="DT70" s="1">
        <v>1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1</v>
      </c>
      <c r="EE70" s="1">
        <v>0</v>
      </c>
      <c r="EF70" s="1">
        <v>0</v>
      </c>
      <c r="EG70" s="1">
        <v>0</v>
      </c>
      <c r="EH70" s="1">
        <v>1</v>
      </c>
      <c r="EI70" s="1">
        <v>1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1</v>
      </c>
      <c r="EP70" s="1">
        <v>0</v>
      </c>
      <c r="EQ70" s="1">
        <v>0</v>
      </c>
      <c r="ER70" s="1">
        <v>1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1</v>
      </c>
      <c r="EY70" s="1">
        <v>0</v>
      </c>
      <c r="EZ70" s="1">
        <v>0</v>
      </c>
      <c r="FA70" s="1">
        <v>1</v>
      </c>
      <c r="FB70" s="1">
        <v>0</v>
      </c>
      <c r="FC70" s="1">
        <v>0</v>
      </c>
      <c r="FD70" s="1">
        <v>1</v>
      </c>
      <c r="FE70" s="1">
        <v>1</v>
      </c>
      <c r="FF70" s="1">
        <v>1</v>
      </c>
      <c r="FG70" s="1">
        <v>1</v>
      </c>
      <c r="FH70" s="1">
        <v>1</v>
      </c>
      <c r="FI70" s="1">
        <v>1</v>
      </c>
      <c r="FJ70" s="1">
        <v>1</v>
      </c>
      <c r="FK70" s="1">
        <v>1</v>
      </c>
      <c r="FL70" s="1">
        <v>1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1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1</v>
      </c>
      <c r="GH70" s="1">
        <v>1</v>
      </c>
      <c r="GI70" s="1">
        <v>0</v>
      </c>
      <c r="GJ70" s="1">
        <v>0</v>
      </c>
      <c r="GK70" s="1">
        <v>1</v>
      </c>
      <c r="GL70" s="1">
        <v>0</v>
      </c>
      <c r="GM70" s="1">
        <v>0</v>
      </c>
      <c r="GN70" s="1">
        <v>1</v>
      </c>
      <c r="GO70" s="1">
        <v>0</v>
      </c>
      <c r="GP70" s="1">
        <v>0</v>
      </c>
      <c r="GQ70" s="1">
        <v>0</v>
      </c>
      <c r="GR70" s="1">
        <v>0</v>
      </c>
      <c r="GS70" s="1">
        <v>1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1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</row>
    <row r="71" spans="1:214" x14ac:dyDescent="0.2">
      <c r="A71" s="1" t="s">
        <v>416</v>
      </c>
      <c r="B71" s="1" t="s">
        <v>416</v>
      </c>
      <c r="D71" s="1" t="s">
        <v>417</v>
      </c>
      <c r="E71" s="1" t="s">
        <v>215</v>
      </c>
      <c r="F71" s="1">
        <v>0</v>
      </c>
      <c r="G71" s="1" t="s">
        <v>238</v>
      </c>
      <c r="H71" s="1" t="s">
        <v>342</v>
      </c>
      <c r="I71" s="1" t="s">
        <v>343</v>
      </c>
      <c r="J71" s="1">
        <v>332</v>
      </c>
      <c r="K71" s="1" t="s">
        <v>24</v>
      </c>
      <c r="L71" s="1" t="s">
        <v>261</v>
      </c>
      <c r="M71" s="1" t="s">
        <v>16</v>
      </c>
      <c r="N71" s="1">
        <f>IF(Regions_master[[#This Row],[Forecaster]]=Regions_master[[#Headers],[Grigor]],1,0)</f>
        <v>0</v>
      </c>
      <c r="O71" s="1">
        <f>IF(Regions_master[[#This Row],[Forecaster]]=Regions_master[[#Headers],[Ingo]],1,0)</f>
        <v>0</v>
      </c>
      <c r="P71" s="1">
        <f>IF(Regions_master[[#This Row],[Forecaster]]=Regions_master[[#Headers],[Danyira]],1,0)</f>
        <v>0</v>
      </c>
      <c r="Q71" s="1">
        <f>IF(Regions_master[[#This Row],[Forecaster]]=Regions_master[[#Headers],[Sebastian]],1,0)</f>
        <v>1</v>
      </c>
      <c r="R71" s="1">
        <f>IF(Regions_master[[#This Row],[Forecaster]]=Regions_master[[#Headers],[Yasu]],1,0)</f>
        <v>0</v>
      </c>
      <c r="S71" s="1">
        <f>IF(Regions_master[[#This Row],[Forecaster]]=Regions_master[[#Headers],[Zhenqian]],1,0)</f>
        <v>0</v>
      </c>
      <c r="T71" s="1">
        <f>IF(Regions_master[[#This Row],[Forecaster]]=Regions_master[[#Headers],[Berna]],1,0)</f>
        <v>0</v>
      </c>
      <c r="U71" s="1">
        <f>IF(Regions_master[[#This Row],[Forecaster]]=Regions_master[[#Headers],[Julian]],1,0)</f>
        <v>0</v>
      </c>
      <c r="V71" s="1">
        <f>IF(Regions_master[[#This Row],[Forecaster]]=Regions_master[[#Headers],[Katarzyna]],1,0)</f>
        <v>0</v>
      </c>
      <c r="W71" s="1">
        <v>1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</v>
      </c>
      <c r="AZ71" s="1">
        <v>0</v>
      </c>
      <c r="BA71" s="1">
        <v>1</v>
      </c>
      <c r="BB71" s="1">
        <v>0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1</v>
      </c>
      <c r="BI71" s="1">
        <v>1</v>
      </c>
      <c r="BJ71" s="1">
        <v>1</v>
      </c>
      <c r="BK71" s="1">
        <v>0</v>
      </c>
      <c r="BL71" s="1">
        <v>1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1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1</v>
      </c>
      <c r="CR71" s="1">
        <v>0</v>
      </c>
      <c r="CS71" s="1">
        <v>0</v>
      </c>
      <c r="CT71" s="1">
        <v>0</v>
      </c>
      <c r="CU71" s="1">
        <v>1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1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1</v>
      </c>
      <c r="DQ71" s="1">
        <v>1</v>
      </c>
      <c r="DR71" s="1">
        <v>1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1</v>
      </c>
      <c r="ED71" s="1">
        <v>0</v>
      </c>
      <c r="EE71" s="1">
        <v>1</v>
      </c>
      <c r="EF71" s="1">
        <v>0</v>
      </c>
      <c r="EG71" s="1">
        <v>0</v>
      </c>
      <c r="EH71" s="1">
        <v>0</v>
      </c>
      <c r="EI71" s="1">
        <v>1</v>
      </c>
      <c r="EJ71" s="1">
        <v>1</v>
      </c>
      <c r="EK71" s="1">
        <v>0</v>
      </c>
      <c r="EL71" s="1">
        <v>0</v>
      </c>
      <c r="EM71" s="1">
        <v>0</v>
      </c>
      <c r="EN71" s="1">
        <v>0</v>
      </c>
      <c r="EO71" s="1">
        <v>1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1</v>
      </c>
      <c r="FE71" s="1">
        <v>1</v>
      </c>
      <c r="FF71" s="1">
        <v>1</v>
      </c>
      <c r="FG71" s="1">
        <v>1</v>
      </c>
      <c r="FH71" s="1">
        <v>1</v>
      </c>
      <c r="FI71" s="1">
        <v>1</v>
      </c>
      <c r="FJ71" s="1">
        <v>1</v>
      </c>
      <c r="FK71" s="1">
        <v>1</v>
      </c>
      <c r="FL71" s="1">
        <v>1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1</v>
      </c>
      <c r="FW71" s="1">
        <v>0</v>
      </c>
      <c r="FX71" s="1">
        <v>0</v>
      </c>
      <c r="FY71" s="1">
        <v>0</v>
      </c>
      <c r="FZ71" s="1">
        <v>0</v>
      </c>
      <c r="GA71" s="1">
        <v>1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1</v>
      </c>
      <c r="GM71" s="1">
        <v>0</v>
      </c>
      <c r="GN71" s="1">
        <v>1</v>
      </c>
      <c r="GO71" s="1">
        <v>1</v>
      </c>
      <c r="GP71" s="1">
        <v>0</v>
      </c>
      <c r="GQ71" s="1">
        <v>0</v>
      </c>
      <c r="GR71" s="1">
        <v>0</v>
      </c>
      <c r="GS71" s="1">
        <v>0</v>
      </c>
      <c r="GT71" s="1">
        <v>1</v>
      </c>
      <c r="GU71" s="1">
        <v>1</v>
      </c>
      <c r="GV71" s="1">
        <v>1</v>
      </c>
      <c r="GW71" s="1">
        <v>1</v>
      </c>
      <c r="GX71" s="1">
        <v>0</v>
      </c>
      <c r="GY71" s="1">
        <v>0</v>
      </c>
      <c r="GZ71" s="1">
        <v>0</v>
      </c>
      <c r="HA71" s="1">
        <v>1</v>
      </c>
      <c r="HB71" s="1">
        <v>1</v>
      </c>
      <c r="HC71" s="1">
        <v>1</v>
      </c>
      <c r="HD71" s="1">
        <v>1</v>
      </c>
      <c r="HE71" s="1">
        <v>0</v>
      </c>
      <c r="HF71" s="1">
        <v>0</v>
      </c>
    </row>
    <row r="72" spans="1:214" x14ac:dyDescent="0.2">
      <c r="A72" s="1" t="s">
        <v>418</v>
      </c>
      <c r="B72" s="1" t="s">
        <v>418</v>
      </c>
      <c r="D72" s="1" t="s">
        <v>419</v>
      </c>
      <c r="E72" s="1" t="s">
        <v>215</v>
      </c>
      <c r="F72" s="1">
        <v>0</v>
      </c>
      <c r="G72" s="1" t="s">
        <v>238</v>
      </c>
      <c r="H72" s="1" t="s">
        <v>342</v>
      </c>
      <c r="I72" s="1" t="s">
        <v>343</v>
      </c>
      <c r="J72" s="1">
        <v>340</v>
      </c>
      <c r="K72" s="1" t="s">
        <v>24</v>
      </c>
      <c r="L72" s="1" t="s">
        <v>261</v>
      </c>
      <c r="M72" s="1" t="s">
        <v>16</v>
      </c>
      <c r="N72" s="1">
        <f>IF(Regions_master[[#This Row],[Forecaster]]=Regions_master[[#Headers],[Grigor]],1,0)</f>
        <v>0</v>
      </c>
      <c r="O72" s="1">
        <f>IF(Regions_master[[#This Row],[Forecaster]]=Regions_master[[#Headers],[Ingo]],1,0)</f>
        <v>0</v>
      </c>
      <c r="P72" s="1">
        <f>IF(Regions_master[[#This Row],[Forecaster]]=Regions_master[[#Headers],[Danyira]],1,0)</f>
        <v>0</v>
      </c>
      <c r="Q72" s="1">
        <f>IF(Regions_master[[#This Row],[Forecaster]]=Regions_master[[#Headers],[Sebastian]],1,0)</f>
        <v>1</v>
      </c>
      <c r="R72" s="1">
        <f>IF(Regions_master[[#This Row],[Forecaster]]=Regions_master[[#Headers],[Yasu]],1,0)</f>
        <v>0</v>
      </c>
      <c r="S72" s="1">
        <f>IF(Regions_master[[#This Row],[Forecaster]]=Regions_master[[#Headers],[Zhenqian]],1,0)</f>
        <v>0</v>
      </c>
      <c r="T72" s="1">
        <f>IF(Regions_master[[#This Row],[Forecaster]]=Regions_master[[#Headers],[Berna]],1,0)</f>
        <v>0</v>
      </c>
      <c r="U72" s="1">
        <f>IF(Regions_master[[#This Row],[Forecaster]]=Regions_master[[#Headers],[Julian]],1,0)</f>
        <v>0</v>
      </c>
      <c r="V72" s="1">
        <f>IF(Regions_master[[#This Row],[Forecaster]]=Regions_master[[#Headers],[Katarzyna]],1,0)</f>
        <v>0</v>
      </c>
      <c r="W72" s="1">
        <v>1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1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1</v>
      </c>
      <c r="BG72" s="1">
        <v>0</v>
      </c>
      <c r="BH72" s="1">
        <v>0</v>
      </c>
      <c r="BI72" s="1">
        <v>1</v>
      </c>
      <c r="BJ72" s="1">
        <v>1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1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1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1</v>
      </c>
      <c r="CS72" s="1">
        <v>0</v>
      </c>
      <c r="CT72" s="1">
        <v>0</v>
      </c>
      <c r="CU72" s="1">
        <v>1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1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1</v>
      </c>
      <c r="DQ72" s="1">
        <v>1</v>
      </c>
      <c r="DR72" s="1">
        <v>1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1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1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1</v>
      </c>
      <c r="FB72" s="1">
        <v>0</v>
      </c>
      <c r="FC72" s="1">
        <v>0</v>
      </c>
      <c r="FD72" s="1">
        <v>1</v>
      </c>
      <c r="FE72" s="1">
        <v>1</v>
      </c>
      <c r="FF72" s="1">
        <v>1</v>
      </c>
      <c r="FG72" s="1">
        <v>1</v>
      </c>
      <c r="FH72" s="1">
        <v>1</v>
      </c>
      <c r="FI72" s="1">
        <v>1</v>
      </c>
      <c r="FJ72" s="1">
        <v>1</v>
      </c>
      <c r="FK72" s="1">
        <v>1</v>
      </c>
      <c r="FL72" s="1">
        <v>1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1</v>
      </c>
      <c r="FW72" s="1">
        <v>0</v>
      </c>
      <c r="FX72" s="1">
        <v>0</v>
      </c>
      <c r="FY72" s="1">
        <v>0</v>
      </c>
      <c r="FZ72" s="1">
        <v>0</v>
      </c>
      <c r="GA72" s="1">
        <v>1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1</v>
      </c>
      <c r="GH72" s="1">
        <v>0</v>
      </c>
      <c r="GI72" s="1">
        <v>0</v>
      </c>
      <c r="GJ72" s="1">
        <v>0</v>
      </c>
      <c r="GK72" s="1">
        <v>0</v>
      </c>
      <c r="GL72" s="1">
        <v>1</v>
      </c>
      <c r="GM72" s="1">
        <v>0</v>
      </c>
      <c r="GN72" s="1">
        <v>1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1</v>
      </c>
      <c r="GU72" s="1">
        <v>1</v>
      </c>
      <c r="GV72" s="1">
        <v>1</v>
      </c>
      <c r="GW72" s="1">
        <v>1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1</v>
      </c>
      <c r="HD72" s="1">
        <v>1</v>
      </c>
      <c r="HE72" s="1">
        <v>0</v>
      </c>
      <c r="HF72" s="1">
        <v>0</v>
      </c>
    </row>
    <row r="73" spans="1:214" x14ac:dyDescent="0.2">
      <c r="A73" s="1" t="s">
        <v>420</v>
      </c>
      <c r="B73" s="1" t="s">
        <v>421</v>
      </c>
      <c r="D73" s="1" t="s">
        <v>422</v>
      </c>
      <c r="E73" s="1" t="s">
        <v>215</v>
      </c>
      <c r="F73" s="1">
        <v>0</v>
      </c>
      <c r="G73" s="1" t="s">
        <v>216</v>
      </c>
      <c r="H73" s="1" t="s">
        <v>296</v>
      </c>
      <c r="I73" s="1" t="s">
        <v>297</v>
      </c>
      <c r="J73" s="1">
        <v>344</v>
      </c>
      <c r="K73" s="1" t="s">
        <v>24</v>
      </c>
      <c r="L73" s="1" t="s">
        <v>235</v>
      </c>
      <c r="M73" s="1" t="s">
        <v>299</v>
      </c>
      <c r="N73" s="1">
        <f>IF(Regions_master[[#This Row],[Forecaster]]=Regions_master[[#Headers],[Grigor]],1,0)</f>
        <v>0</v>
      </c>
      <c r="O73" s="1">
        <f>IF(Regions_master[[#This Row],[Forecaster]]=Regions_master[[#Headers],[Ingo]],1,0)</f>
        <v>0</v>
      </c>
      <c r="P73" s="1">
        <f>IF(Regions_master[[#This Row],[Forecaster]]=Regions_master[[#Headers],[Danyira]],1,0)</f>
        <v>0</v>
      </c>
      <c r="Q73" s="1">
        <f>IF(Regions_master[[#This Row],[Forecaster]]=Regions_master[[#Headers],[Sebastian]],1,0)</f>
        <v>0</v>
      </c>
      <c r="R73" s="1">
        <f>IF(Regions_master[[#This Row],[Forecaster]]=Regions_master[[#Headers],[Yasu]],1,0)</f>
        <v>0</v>
      </c>
      <c r="S73" s="1">
        <f>IF(Regions_master[[#This Row],[Forecaster]]=Regions_master[[#Headers],[Zhenqian]],1,0)</f>
        <v>1</v>
      </c>
      <c r="T73" s="1">
        <f>IF(Regions_master[[#This Row],[Forecaster]]=Regions_master[[#Headers],[Berna]],1,0)</f>
        <v>0</v>
      </c>
      <c r="U73" s="1">
        <f>IF(Regions_master[[#This Row],[Forecaster]]=Regions_master[[#Headers],[Julian]],1,0)</f>
        <v>0</v>
      </c>
      <c r="V73" s="1">
        <f>IF(Regions_master[[#This Row],[Forecaster]]=Regions_master[[#Headers],[Katarzyna]],1,0)</f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1</v>
      </c>
      <c r="AU73" s="1">
        <v>1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1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1</v>
      </c>
      <c r="DD73" s="1">
        <v>0</v>
      </c>
      <c r="DE73" s="1">
        <v>1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1</v>
      </c>
      <c r="DM73" s="1">
        <v>0</v>
      </c>
      <c r="DN73" s="1">
        <v>0</v>
      </c>
      <c r="DO73" s="1">
        <v>0</v>
      </c>
      <c r="DP73" s="1">
        <v>1</v>
      </c>
      <c r="DQ73" s="1">
        <v>1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1</v>
      </c>
      <c r="EE73" s="1">
        <v>0</v>
      </c>
      <c r="EF73" s="1">
        <v>1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1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1</v>
      </c>
      <c r="FB73" s="1">
        <v>1</v>
      </c>
      <c r="FC73" s="1">
        <v>0</v>
      </c>
      <c r="FD73" s="1">
        <v>1</v>
      </c>
      <c r="FE73" s="1">
        <v>1</v>
      </c>
      <c r="FF73" s="1">
        <v>1</v>
      </c>
      <c r="FG73" s="1">
        <v>1</v>
      </c>
      <c r="FH73" s="1">
        <v>1</v>
      </c>
      <c r="FI73" s="1">
        <v>1</v>
      </c>
      <c r="FJ73" s="1">
        <v>1</v>
      </c>
      <c r="FK73" s="1">
        <v>1</v>
      </c>
      <c r="FL73" s="1">
        <v>1</v>
      </c>
      <c r="FM73" s="1">
        <v>0</v>
      </c>
      <c r="FN73" s="1">
        <v>0</v>
      </c>
      <c r="FO73" s="1">
        <v>0</v>
      </c>
      <c r="FP73" s="1">
        <v>0</v>
      </c>
      <c r="FQ73" s="1">
        <v>1</v>
      </c>
      <c r="FR73" s="1">
        <v>0</v>
      </c>
      <c r="FS73" s="1">
        <v>1</v>
      </c>
      <c r="FT73" s="1">
        <v>1</v>
      </c>
      <c r="FU73" s="1">
        <v>0</v>
      </c>
      <c r="FV73" s="1">
        <v>0</v>
      </c>
      <c r="FW73" s="1">
        <v>0</v>
      </c>
      <c r="FX73" s="1">
        <v>0</v>
      </c>
      <c r="FY73" s="1">
        <v>1</v>
      </c>
      <c r="FZ73" s="1">
        <v>0</v>
      </c>
      <c r="GA73" s="1">
        <v>0</v>
      </c>
      <c r="GB73" s="1">
        <v>0</v>
      </c>
      <c r="GC73" s="1">
        <v>0</v>
      </c>
      <c r="GD73" s="1">
        <v>1</v>
      </c>
      <c r="GE73" s="1">
        <v>0</v>
      </c>
      <c r="GF73" s="1">
        <v>0</v>
      </c>
      <c r="GG73" s="1">
        <v>1</v>
      </c>
      <c r="GH73" s="1">
        <v>0</v>
      </c>
      <c r="GI73" s="1">
        <v>0</v>
      </c>
      <c r="GJ73" s="1">
        <v>1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</row>
    <row r="74" spans="1:214" x14ac:dyDescent="0.2">
      <c r="A74" s="1" t="s">
        <v>423</v>
      </c>
      <c r="B74" s="1" t="s">
        <v>423</v>
      </c>
      <c r="D74" s="1" t="s">
        <v>424</v>
      </c>
      <c r="E74" s="1" t="s">
        <v>215</v>
      </c>
      <c r="F74" s="1">
        <v>0</v>
      </c>
      <c r="G74" s="1" t="s">
        <v>251</v>
      </c>
      <c r="H74" s="1" t="s">
        <v>252</v>
      </c>
      <c r="I74" s="1" t="s">
        <v>253</v>
      </c>
      <c r="J74" s="1">
        <v>348</v>
      </c>
      <c r="K74" s="1" t="s">
        <v>22</v>
      </c>
      <c r="L74" s="1" t="s">
        <v>254</v>
      </c>
      <c r="M74" s="1" t="s">
        <v>13</v>
      </c>
      <c r="N74" s="1">
        <f>IF(Regions_master[[#This Row],[Forecaster]]=Regions_master[[#Headers],[Grigor]],1,0)</f>
        <v>1</v>
      </c>
      <c r="O74" s="1">
        <f>IF(Regions_master[[#This Row],[Forecaster]]=Regions_master[[#Headers],[Ingo]],1,0)</f>
        <v>0</v>
      </c>
      <c r="P74" s="1">
        <f>IF(Regions_master[[#This Row],[Forecaster]]=Regions_master[[#Headers],[Danyira]],1,0)</f>
        <v>0</v>
      </c>
      <c r="Q74" s="1">
        <f>IF(Regions_master[[#This Row],[Forecaster]]=Regions_master[[#Headers],[Sebastian]],1,0)</f>
        <v>0</v>
      </c>
      <c r="R74" s="1">
        <f>IF(Regions_master[[#This Row],[Forecaster]]=Regions_master[[#Headers],[Yasu]],1,0)</f>
        <v>0</v>
      </c>
      <c r="S74" s="1">
        <f>IF(Regions_master[[#This Row],[Forecaster]]=Regions_master[[#Headers],[Zhenqian]],1,0)</f>
        <v>0</v>
      </c>
      <c r="T74" s="1">
        <f>IF(Regions_master[[#This Row],[Forecaster]]=Regions_master[[#Headers],[Berna]],1,0)</f>
        <v>0</v>
      </c>
      <c r="U74" s="1">
        <f>IF(Regions_master[[#This Row],[Forecaster]]=Regions_master[[#Headers],[Julian]],1,0)</f>
        <v>0</v>
      </c>
      <c r="V74" s="1">
        <f>IF(Regions_master[[#This Row],[Forecaster]]=Regions_master[[#Headers],[Katarzyna]],1,0)</f>
        <v>0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1</v>
      </c>
      <c r="AD74" s="1">
        <v>1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1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1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1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1</v>
      </c>
      <c r="ED74" s="1">
        <v>0</v>
      </c>
      <c r="EE74" s="1">
        <v>0</v>
      </c>
      <c r="EF74" s="1">
        <v>1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1</v>
      </c>
      <c r="FB74" s="1">
        <v>1</v>
      </c>
      <c r="FC74" s="1">
        <v>0</v>
      </c>
      <c r="FD74" s="1">
        <v>1</v>
      </c>
      <c r="FE74" s="1">
        <v>1</v>
      </c>
      <c r="FF74" s="1">
        <v>1</v>
      </c>
      <c r="FG74" s="1">
        <v>1</v>
      </c>
      <c r="FH74" s="1">
        <v>1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1</v>
      </c>
      <c r="FO74" s="1">
        <v>1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1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</row>
    <row r="75" spans="1:214" x14ac:dyDescent="0.2">
      <c r="A75" s="1" t="s">
        <v>425</v>
      </c>
      <c r="B75" s="1" t="s">
        <v>425</v>
      </c>
      <c r="D75" s="1" t="s">
        <v>426</v>
      </c>
      <c r="E75" s="1" t="s">
        <v>215</v>
      </c>
      <c r="F75" s="1">
        <v>0</v>
      </c>
      <c r="G75" s="1" t="s">
        <v>251</v>
      </c>
      <c r="H75" s="1" t="s">
        <v>427</v>
      </c>
      <c r="I75" s="1" t="s">
        <v>428</v>
      </c>
      <c r="J75" s="1">
        <v>352</v>
      </c>
      <c r="K75" s="1" t="s">
        <v>22</v>
      </c>
      <c r="L75" s="1" t="s">
        <v>261</v>
      </c>
      <c r="M75" s="1" t="s">
        <v>14</v>
      </c>
      <c r="N75" s="1">
        <f>IF(Regions_master[[#This Row],[Forecaster]]=Regions_master[[#Headers],[Grigor]],1,0)</f>
        <v>0</v>
      </c>
      <c r="O75" s="1">
        <f>IF(Regions_master[[#This Row],[Forecaster]]=Regions_master[[#Headers],[Ingo]],1,0)</f>
        <v>1</v>
      </c>
      <c r="P75" s="1">
        <f>IF(Regions_master[[#This Row],[Forecaster]]=Regions_master[[#Headers],[Danyira]],1,0)</f>
        <v>0</v>
      </c>
      <c r="Q75" s="1">
        <f>IF(Regions_master[[#This Row],[Forecaster]]=Regions_master[[#Headers],[Sebastian]],1,0)</f>
        <v>0</v>
      </c>
      <c r="R75" s="1">
        <f>IF(Regions_master[[#This Row],[Forecaster]]=Regions_master[[#Headers],[Yasu]],1,0)</f>
        <v>0</v>
      </c>
      <c r="S75" s="1">
        <f>IF(Regions_master[[#This Row],[Forecaster]]=Regions_master[[#Headers],[Zhenqian]],1,0)</f>
        <v>0</v>
      </c>
      <c r="T75" s="1">
        <f>IF(Regions_master[[#This Row],[Forecaster]]=Regions_master[[#Headers],[Berna]],1,0)</f>
        <v>0</v>
      </c>
      <c r="U75" s="1">
        <f>IF(Regions_master[[#This Row],[Forecaster]]=Regions_master[[#Headers],[Julian]],1,0)</f>
        <v>0</v>
      </c>
      <c r="V75" s="1">
        <f>IF(Regions_master[[#This Row],[Forecaster]]=Regions_master[[#Headers],[Katarzyna]],1,0)</f>
        <v>0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1</v>
      </c>
      <c r="AK75" s="1">
        <v>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1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1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1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1</v>
      </c>
      <c r="ED75" s="1">
        <v>0</v>
      </c>
      <c r="EE75" s="1">
        <v>0</v>
      </c>
      <c r="EF75" s="1">
        <v>0</v>
      </c>
      <c r="EG75" s="1">
        <v>1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1</v>
      </c>
      <c r="FE75" s="1">
        <v>1</v>
      </c>
      <c r="FF75" s="1">
        <v>1</v>
      </c>
      <c r="FG75" s="1">
        <v>1</v>
      </c>
      <c r="FH75" s="1">
        <v>1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1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1</v>
      </c>
      <c r="GI75" s="1">
        <v>1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</row>
    <row r="76" spans="1:214" x14ac:dyDescent="0.2">
      <c r="A76" s="1" t="s">
        <v>429</v>
      </c>
      <c r="B76" s="1" t="s">
        <v>429</v>
      </c>
      <c r="D76" s="1" t="s">
        <v>219</v>
      </c>
      <c r="E76" s="1" t="s">
        <v>215</v>
      </c>
      <c r="F76" s="1">
        <v>0</v>
      </c>
      <c r="G76" s="1" t="s">
        <v>216</v>
      </c>
      <c r="H76" s="1" t="s">
        <v>217</v>
      </c>
      <c r="I76" s="1" t="s">
        <v>218</v>
      </c>
      <c r="J76" s="1">
        <v>356</v>
      </c>
      <c r="K76" s="1" t="s">
        <v>24</v>
      </c>
      <c r="L76" s="1" t="s">
        <v>261</v>
      </c>
      <c r="M76" s="1" t="s">
        <v>15</v>
      </c>
      <c r="N76" s="1">
        <f>IF(Regions_master[[#This Row],[Forecaster]]=Regions_master[[#Headers],[Grigor]],1,0)</f>
        <v>0</v>
      </c>
      <c r="O76" s="1">
        <f>IF(Regions_master[[#This Row],[Forecaster]]=Regions_master[[#Headers],[Ingo]],1,0)</f>
        <v>0</v>
      </c>
      <c r="P76" s="1">
        <f>IF(Regions_master[[#This Row],[Forecaster]]=Regions_master[[#Headers],[Danyira]],1,0)</f>
        <v>1</v>
      </c>
      <c r="Q76" s="1">
        <f>IF(Regions_master[[#This Row],[Forecaster]]=Regions_master[[#Headers],[Sebastian]],1,0)</f>
        <v>0</v>
      </c>
      <c r="R76" s="1">
        <f>IF(Regions_master[[#This Row],[Forecaster]]=Regions_master[[#Headers],[Yasu]],1,0)</f>
        <v>0</v>
      </c>
      <c r="S76" s="1">
        <f>IF(Regions_master[[#This Row],[Forecaster]]=Regions_master[[#Headers],[Zhenqian]],1,0)</f>
        <v>0</v>
      </c>
      <c r="T76" s="1">
        <f>IF(Regions_master[[#This Row],[Forecaster]]=Regions_master[[#Headers],[Berna]],1,0)</f>
        <v>0</v>
      </c>
      <c r="U76" s="1">
        <f>IF(Regions_master[[#This Row],[Forecaster]]=Regions_master[[#Headers],[Julian]],1,0)</f>
        <v>0</v>
      </c>
      <c r="V76" s="1">
        <f>IF(Regions_master[[#This Row],[Forecaster]]=Regions_master[[#Headers],[Katarzyna]],1,0)</f>
        <v>0</v>
      </c>
      <c r="W76" s="1">
        <v>1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</v>
      </c>
      <c r="BP76" s="1">
        <v>1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1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1</v>
      </c>
      <c r="CU76" s="1">
        <v>1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1</v>
      </c>
      <c r="DD76" s="1">
        <v>0</v>
      </c>
      <c r="DE76" s="1">
        <v>1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1</v>
      </c>
      <c r="DQ76" s="1">
        <v>1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1</v>
      </c>
      <c r="EC76" s="1">
        <v>0</v>
      </c>
      <c r="ED76" s="1">
        <v>1</v>
      </c>
      <c r="EE76" s="1">
        <v>0</v>
      </c>
      <c r="EF76" s="1">
        <v>1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1</v>
      </c>
      <c r="EN76" s="1">
        <v>1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1</v>
      </c>
      <c r="FB76" s="1">
        <v>1</v>
      </c>
      <c r="FC76" s="1">
        <v>0</v>
      </c>
      <c r="FD76" s="1">
        <v>1</v>
      </c>
      <c r="FE76" s="1">
        <v>1</v>
      </c>
      <c r="FF76" s="1">
        <v>1</v>
      </c>
      <c r="FG76" s="1">
        <v>1</v>
      </c>
      <c r="FH76" s="1">
        <v>1</v>
      </c>
      <c r="FI76" s="1">
        <v>1</v>
      </c>
      <c r="FJ76" s="1">
        <v>1</v>
      </c>
      <c r="FK76" s="1">
        <v>1</v>
      </c>
      <c r="FL76" s="1">
        <v>1</v>
      </c>
      <c r="FM76" s="1">
        <v>0</v>
      </c>
      <c r="FN76" s="1">
        <v>0</v>
      </c>
      <c r="FO76" s="1">
        <v>0</v>
      </c>
      <c r="FP76" s="1">
        <v>0</v>
      </c>
      <c r="FQ76" s="1">
        <v>1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1</v>
      </c>
      <c r="FZ76" s="1">
        <v>0</v>
      </c>
      <c r="GA76" s="1">
        <v>0</v>
      </c>
      <c r="GB76" s="1">
        <v>0</v>
      </c>
      <c r="GC76" s="1">
        <v>0</v>
      </c>
      <c r="GD76" s="1">
        <v>1</v>
      </c>
      <c r="GE76" s="1">
        <v>1</v>
      </c>
      <c r="GF76" s="1">
        <v>0</v>
      </c>
      <c r="GG76" s="1">
        <v>1</v>
      </c>
      <c r="GH76" s="1">
        <v>0</v>
      </c>
      <c r="GI76" s="1">
        <v>0</v>
      </c>
      <c r="GJ76" s="1">
        <v>1</v>
      </c>
      <c r="GK76" s="1">
        <v>0</v>
      </c>
      <c r="GL76" s="1">
        <v>1</v>
      </c>
      <c r="GM76" s="1">
        <v>0</v>
      </c>
      <c r="GN76" s="1">
        <v>1</v>
      </c>
      <c r="GO76" s="1">
        <v>0</v>
      </c>
      <c r="GP76" s="1">
        <v>0</v>
      </c>
      <c r="GQ76" s="1">
        <v>0</v>
      </c>
      <c r="GR76" s="1">
        <v>1</v>
      </c>
      <c r="GS76" s="1">
        <v>0</v>
      </c>
      <c r="GT76" s="1">
        <v>1</v>
      </c>
      <c r="GU76" s="1">
        <v>1</v>
      </c>
      <c r="GV76" s="1">
        <v>1</v>
      </c>
      <c r="GW76" s="1">
        <v>1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1</v>
      </c>
      <c r="HD76" s="1">
        <v>1</v>
      </c>
      <c r="HE76" s="1">
        <v>0</v>
      </c>
      <c r="HF76" s="1">
        <v>1</v>
      </c>
    </row>
    <row r="77" spans="1:214" x14ac:dyDescent="0.2">
      <c r="A77" s="1" t="s">
        <v>430</v>
      </c>
      <c r="B77" s="1" t="s">
        <v>430</v>
      </c>
      <c r="D77" s="1" t="s">
        <v>431</v>
      </c>
      <c r="E77" s="1" t="s">
        <v>215</v>
      </c>
      <c r="F77" s="1">
        <v>0</v>
      </c>
      <c r="G77" s="1" t="s">
        <v>216</v>
      </c>
      <c r="H77" s="1" t="s">
        <v>296</v>
      </c>
      <c r="I77" s="1" t="s">
        <v>297</v>
      </c>
      <c r="J77" s="1">
        <v>360</v>
      </c>
      <c r="K77" s="1" t="s">
        <v>24</v>
      </c>
      <c r="L77" s="1" t="s">
        <v>235</v>
      </c>
      <c r="M77" s="1" t="s">
        <v>299</v>
      </c>
      <c r="N77" s="1">
        <f>IF(Regions_master[[#This Row],[Forecaster]]=Regions_master[[#Headers],[Grigor]],1,0)</f>
        <v>0</v>
      </c>
      <c r="O77" s="1">
        <f>IF(Regions_master[[#This Row],[Forecaster]]=Regions_master[[#Headers],[Ingo]],1,0)</f>
        <v>0</v>
      </c>
      <c r="P77" s="1">
        <f>IF(Regions_master[[#This Row],[Forecaster]]=Regions_master[[#Headers],[Danyira]],1,0)</f>
        <v>0</v>
      </c>
      <c r="Q77" s="1">
        <f>IF(Regions_master[[#This Row],[Forecaster]]=Regions_master[[#Headers],[Sebastian]],1,0)</f>
        <v>0</v>
      </c>
      <c r="R77" s="1">
        <f>IF(Regions_master[[#This Row],[Forecaster]]=Regions_master[[#Headers],[Yasu]],1,0)</f>
        <v>0</v>
      </c>
      <c r="S77" s="1">
        <f>IF(Regions_master[[#This Row],[Forecaster]]=Regions_master[[#Headers],[Zhenqian]],1,0)</f>
        <v>1</v>
      </c>
      <c r="T77" s="1">
        <f>IF(Regions_master[[#This Row],[Forecaster]]=Regions_master[[#Headers],[Berna]],1,0)</f>
        <v>0</v>
      </c>
      <c r="U77" s="1">
        <f>IF(Regions_master[[#This Row],[Forecaster]]=Regions_master[[#Headers],[Julian]],1,0)</f>
        <v>0</v>
      </c>
      <c r="V77" s="1">
        <f>IF(Regions_master[[#This Row],[Forecaster]]=Regions_master[[#Headers],[Katarzyna]],1,0)</f>
        <v>0</v>
      </c>
      <c r="W77" s="1">
        <v>1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1</v>
      </c>
      <c r="BQ77" s="1">
        <v>0</v>
      </c>
      <c r="BR77" s="1">
        <v>0</v>
      </c>
      <c r="BS77" s="1">
        <v>1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1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1</v>
      </c>
      <c r="CU77" s="1">
        <v>1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1</v>
      </c>
      <c r="DD77" s="1">
        <v>1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1</v>
      </c>
      <c r="DM77" s="1">
        <v>0</v>
      </c>
      <c r="DN77" s="1">
        <v>0</v>
      </c>
      <c r="DO77" s="1">
        <v>0</v>
      </c>
      <c r="DP77" s="1">
        <v>1</v>
      </c>
      <c r="DQ77" s="1">
        <v>1</v>
      </c>
      <c r="DR77" s="1">
        <v>0</v>
      </c>
      <c r="DS77" s="1">
        <v>0</v>
      </c>
      <c r="DT77" s="1">
        <v>0</v>
      </c>
      <c r="DU77" s="1">
        <v>1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1</v>
      </c>
      <c r="EE77" s="1">
        <v>0</v>
      </c>
      <c r="EF77" s="1">
        <v>1</v>
      </c>
      <c r="EG77" s="1">
        <v>0</v>
      </c>
      <c r="EH77" s="1">
        <v>1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1</v>
      </c>
      <c r="EO77" s="1">
        <v>0</v>
      </c>
      <c r="EP77" s="1">
        <v>0</v>
      </c>
      <c r="EQ77" s="1">
        <v>0</v>
      </c>
      <c r="ER77" s="1">
        <v>0</v>
      </c>
      <c r="ES77" s="1">
        <v>1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1</v>
      </c>
      <c r="FB77" s="1">
        <v>1</v>
      </c>
      <c r="FC77" s="1">
        <v>0</v>
      </c>
      <c r="FD77" s="1">
        <v>1</v>
      </c>
      <c r="FE77" s="1">
        <v>1</v>
      </c>
      <c r="FF77" s="1">
        <v>1</v>
      </c>
      <c r="FG77" s="1">
        <v>1</v>
      </c>
      <c r="FH77" s="1">
        <v>1</v>
      </c>
      <c r="FI77" s="1">
        <v>1</v>
      </c>
      <c r="FJ77" s="1">
        <v>1</v>
      </c>
      <c r="FK77" s="1">
        <v>1</v>
      </c>
      <c r="FL77" s="1">
        <v>1</v>
      </c>
      <c r="FM77" s="1">
        <v>0</v>
      </c>
      <c r="FN77" s="1">
        <v>0</v>
      </c>
      <c r="FO77" s="1">
        <v>0</v>
      </c>
      <c r="FP77" s="1">
        <v>0</v>
      </c>
      <c r="FQ77" s="1">
        <v>1</v>
      </c>
      <c r="FR77" s="1">
        <v>0</v>
      </c>
      <c r="FS77" s="1">
        <v>1</v>
      </c>
      <c r="FT77" s="1">
        <v>1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1</v>
      </c>
      <c r="GE77" s="1">
        <v>0</v>
      </c>
      <c r="GF77" s="1">
        <v>0</v>
      </c>
      <c r="GG77" s="1">
        <v>1</v>
      </c>
      <c r="GH77" s="1">
        <v>0</v>
      </c>
      <c r="GI77" s="1">
        <v>0</v>
      </c>
      <c r="GJ77" s="1">
        <v>1</v>
      </c>
      <c r="GK77" s="1">
        <v>1</v>
      </c>
      <c r="GL77" s="1">
        <v>0</v>
      </c>
      <c r="GM77" s="1">
        <v>0</v>
      </c>
      <c r="GN77" s="1">
        <v>1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1</v>
      </c>
      <c r="GU77" s="1">
        <v>1</v>
      </c>
      <c r="GV77" s="1">
        <v>1</v>
      </c>
      <c r="GW77" s="1">
        <v>1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1</v>
      </c>
      <c r="HD77" s="1">
        <v>1</v>
      </c>
      <c r="HE77" s="1">
        <v>1</v>
      </c>
      <c r="HF77" s="1">
        <v>0</v>
      </c>
    </row>
    <row r="78" spans="1:214" x14ac:dyDescent="0.2">
      <c r="A78" s="1" t="s">
        <v>432</v>
      </c>
      <c r="B78" s="1" t="s">
        <v>433</v>
      </c>
      <c r="D78" s="1" t="s">
        <v>434</v>
      </c>
      <c r="E78" s="1" t="s">
        <v>215</v>
      </c>
      <c r="F78" s="1">
        <v>0</v>
      </c>
      <c r="G78" s="1" t="s">
        <v>216</v>
      </c>
      <c r="H78" s="1" t="s">
        <v>217</v>
      </c>
      <c r="I78" s="1" t="s">
        <v>218</v>
      </c>
      <c r="J78" s="1">
        <v>364</v>
      </c>
      <c r="K78" s="1" t="s">
        <v>24</v>
      </c>
      <c r="L78" s="1" t="s">
        <v>235</v>
      </c>
      <c r="M78" s="1" t="s">
        <v>15</v>
      </c>
      <c r="N78" s="1">
        <f>IF(Regions_master[[#This Row],[Forecaster]]=Regions_master[[#Headers],[Grigor]],1,0)</f>
        <v>0</v>
      </c>
      <c r="O78" s="1">
        <f>IF(Regions_master[[#This Row],[Forecaster]]=Regions_master[[#Headers],[Ingo]],1,0)</f>
        <v>0</v>
      </c>
      <c r="P78" s="1">
        <f>IF(Regions_master[[#This Row],[Forecaster]]=Regions_master[[#Headers],[Danyira]],1,0)</f>
        <v>1</v>
      </c>
      <c r="Q78" s="1">
        <f>IF(Regions_master[[#This Row],[Forecaster]]=Regions_master[[#Headers],[Sebastian]],1,0)</f>
        <v>0</v>
      </c>
      <c r="R78" s="1">
        <f>IF(Regions_master[[#This Row],[Forecaster]]=Regions_master[[#Headers],[Yasu]],1,0)</f>
        <v>0</v>
      </c>
      <c r="S78" s="1">
        <f>IF(Regions_master[[#This Row],[Forecaster]]=Regions_master[[#Headers],[Zhenqian]],1,0)</f>
        <v>0</v>
      </c>
      <c r="T78" s="1">
        <f>IF(Regions_master[[#This Row],[Forecaster]]=Regions_master[[#Headers],[Berna]],1,0)</f>
        <v>0</v>
      </c>
      <c r="U78" s="1">
        <f>IF(Regions_master[[#This Row],[Forecaster]]=Regions_master[[#Headers],[Julian]],1,0)</f>
        <v>0</v>
      </c>
      <c r="V78" s="1">
        <f>IF(Regions_master[[#This Row],[Forecaster]]=Regions_master[[#Headers],[Katarzyna]],1,0)</f>
        <v>0</v>
      </c>
      <c r="W78" s="1">
        <v>1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</v>
      </c>
      <c r="AU78" s="1">
        <v>0</v>
      </c>
      <c r="AV78" s="1">
        <v>1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0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1</v>
      </c>
      <c r="BQ78" s="1">
        <v>0</v>
      </c>
      <c r="BR78" s="1">
        <v>0</v>
      </c>
      <c r="BS78" s="1">
        <v>1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1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1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1</v>
      </c>
      <c r="DD78" s="1">
        <v>1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1</v>
      </c>
      <c r="DN78" s="1">
        <v>0</v>
      </c>
      <c r="DO78" s="1">
        <v>0</v>
      </c>
      <c r="DP78" s="1">
        <v>1</v>
      </c>
      <c r="DQ78" s="1">
        <v>1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1</v>
      </c>
      <c r="EE78" s="1">
        <v>0</v>
      </c>
      <c r="EF78" s="1">
        <v>0</v>
      </c>
      <c r="EG78" s="1">
        <v>0</v>
      </c>
      <c r="EH78" s="1">
        <v>1</v>
      </c>
      <c r="EI78" s="1">
        <v>0</v>
      </c>
      <c r="EJ78" s="1">
        <v>0</v>
      </c>
      <c r="EK78" s="1">
        <v>0</v>
      </c>
      <c r="EL78" s="1">
        <v>0</v>
      </c>
      <c r="EM78" s="1">
        <v>1</v>
      </c>
      <c r="EN78" s="1">
        <v>1</v>
      </c>
      <c r="EO78" s="1">
        <v>0</v>
      </c>
      <c r="EP78" s="1">
        <v>0</v>
      </c>
      <c r="EQ78" s="1">
        <v>0</v>
      </c>
      <c r="ER78" s="1">
        <v>0</v>
      </c>
      <c r="ES78" s="1">
        <v>1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1</v>
      </c>
      <c r="FB78" s="1">
        <v>0</v>
      </c>
      <c r="FC78" s="1">
        <v>0</v>
      </c>
      <c r="FD78" s="1">
        <v>1</v>
      </c>
      <c r="FE78" s="1">
        <v>1</v>
      </c>
      <c r="FF78" s="1">
        <v>1</v>
      </c>
      <c r="FG78" s="1">
        <v>1</v>
      </c>
      <c r="FH78" s="1">
        <v>1</v>
      </c>
      <c r="FI78" s="1">
        <v>1</v>
      </c>
      <c r="FJ78" s="1">
        <v>1</v>
      </c>
      <c r="FK78" s="1">
        <v>1</v>
      </c>
      <c r="FL78" s="1">
        <v>1</v>
      </c>
      <c r="FM78" s="1">
        <v>0</v>
      </c>
      <c r="FN78" s="1">
        <v>0</v>
      </c>
      <c r="FO78" s="1">
        <v>0</v>
      </c>
      <c r="FP78" s="1">
        <v>0</v>
      </c>
      <c r="FQ78" s="1">
        <v>1</v>
      </c>
      <c r="FR78" s="1">
        <v>1</v>
      </c>
      <c r="FS78" s="1">
        <v>1</v>
      </c>
      <c r="FT78" s="1">
        <v>1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1</v>
      </c>
      <c r="GE78" s="1">
        <v>1</v>
      </c>
      <c r="GF78" s="1">
        <v>0</v>
      </c>
      <c r="GG78" s="1">
        <v>1</v>
      </c>
      <c r="GH78" s="1">
        <v>0</v>
      </c>
      <c r="GI78" s="1">
        <v>0</v>
      </c>
      <c r="GJ78" s="1">
        <v>0</v>
      </c>
      <c r="GK78" s="1">
        <v>1</v>
      </c>
      <c r="GL78" s="1">
        <v>0</v>
      </c>
      <c r="GM78" s="1">
        <v>0</v>
      </c>
      <c r="GN78" s="1">
        <v>1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1</v>
      </c>
      <c r="GU78" s="1">
        <v>1</v>
      </c>
      <c r="GV78" s="1">
        <v>1</v>
      </c>
      <c r="GW78" s="1">
        <v>1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1</v>
      </c>
      <c r="HD78" s="1">
        <v>1</v>
      </c>
      <c r="HE78" s="1">
        <v>1</v>
      </c>
      <c r="HF78" s="1">
        <v>1</v>
      </c>
    </row>
    <row r="79" spans="1:214" x14ac:dyDescent="0.2">
      <c r="A79" s="1" t="s">
        <v>435</v>
      </c>
      <c r="B79" s="1" t="s">
        <v>435</v>
      </c>
      <c r="D79" s="1" t="s">
        <v>436</v>
      </c>
      <c r="E79" s="1" t="s">
        <v>215</v>
      </c>
      <c r="F79" s="1">
        <v>0</v>
      </c>
      <c r="G79" s="1" t="s">
        <v>216</v>
      </c>
      <c r="H79" s="1" t="s">
        <v>264</v>
      </c>
      <c r="I79" s="1" t="s">
        <v>265</v>
      </c>
      <c r="J79" s="1">
        <v>368</v>
      </c>
      <c r="K79" s="1" t="s">
        <v>24</v>
      </c>
      <c r="L79" s="1" t="s">
        <v>235</v>
      </c>
      <c r="M79" s="1" t="s">
        <v>18</v>
      </c>
      <c r="N79" s="1">
        <f>IF(Regions_master[[#This Row],[Forecaster]]=Regions_master[[#Headers],[Grigor]],1,0)</f>
        <v>0</v>
      </c>
      <c r="O79" s="1">
        <f>IF(Regions_master[[#This Row],[Forecaster]]=Regions_master[[#Headers],[Ingo]],1,0)</f>
        <v>0</v>
      </c>
      <c r="P79" s="1">
        <f>IF(Regions_master[[#This Row],[Forecaster]]=Regions_master[[#Headers],[Danyira]],1,0)</f>
        <v>0</v>
      </c>
      <c r="Q79" s="1">
        <f>IF(Regions_master[[#This Row],[Forecaster]]=Regions_master[[#Headers],[Sebastian]],1,0)</f>
        <v>0</v>
      </c>
      <c r="R79" s="1">
        <f>IF(Regions_master[[#This Row],[Forecaster]]=Regions_master[[#Headers],[Yasu]],1,0)</f>
        <v>0</v>
      </c>
      <c r="S79" s="1">
        <f>IF(Regions_master[[#This Row],[Forecaster]]=Regions_master[[#Headers],[Zhenqian]],1,0)</f>
        <v>0</v>
      </c>
      <c r="T79" s="1">
        <f>IF(Regions_master[[#This Row],[Forecaster]]=Regions_master[[#Headers],[Berna]],1,0)</f>
        <v>1</v>
      </c>
      <c r="U79" s="1">
        <f>IF(Regions_master[[#This Row],[Forecaster]]=Regions_master[[#Headers],[Julian]],1,0)</f>
        <v>0</v>
      </c>
      <c r="V79" s="1">
        <f>IF(Regions_master[[#This Row],[Forecaster]]=Regions_master[[#Headers],[Katarzyna]],1,0)</f>
        <v>0</v>
      </c>
      <c r="W79" s="1">
        <v>1</v>
      </c>
      <c r="X79" s="1">
        <v>0</v>
      </c>
      <c r="Y79" s="1">
        <v>0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</v>
      </c>
      <c r="AU79" s="1">
        <v>0</v>
      </c>
      <c r="AV79" s="1">
        <v>0</v>
      </c>
      <c r="AW79" s="1">
        <v>0</v>
      </c>
      <c r="AX79" s="1">
        <v>1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1</v>
      </c>
      <c r="BO79" s="1">
        <v>0</v>
      </c>
      <c r="BP79" s="1">
        <v>0</v>
      </c>
      <c r="BQ79" s="1">
        <v>0</v>
      </c>
      <c r="BR79" s="1">
        <v>0</v>
      </c>
      <c r="BS79" s="1">
        <v>1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1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1</v>
      </c>
      <c r="CV79" s="1">
        <v>1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1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1</v>
      </c>
      <c r="DO79" s="1">
        <v>0</v>
      </c>
      <c r="DP79" s="1">
        <v>1</v>
      </c>
      <c r="DQ79" s="1">
        <v>1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1</v>
      </c>
      <c r="EE79" s="1">
        <v>0</v>
      </c>
      <c r="EF79" s="1">
        <v>0</v>
      </c>
      <c r="EG79" s="1">
        <v>0</v>
      </c>
      <c r="EH79" s="1">
        <v>1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1</v>
      </c>
      <c r="EQ79" s="1">
        <v>0</v>
      </c>
      <c r="ER79" s="1">
        <v>0</v>
      </c>
      <c r="ES79" s="1">
        <v>1</v>
      </c>
      <c r="ET79" s="1">
        <v>0</v>
      </c>
      <c r="EU79" s="1">
        <v>0</v>
      </c>
      <c r="EV79" s="1">
        <v>0</v>
      </c>
      <c r="EW79" s="1">
        <v>0</v>
      </c>
      <c r="EX79" s="1">
        <v>1</v>
      </c>
      <c r="EY79" s="1">
        <v>0</v>
      </c>
      <c r="EZ79" s="1">
        <v>0</v>
      </c>
      <c r="FA79" s="1">
        <v>1</v>
      </c>
      <c r="FB79" s="1">
        <v>0</v>
      </c>
      <c r="FC79" s="1">
        <v>0</v>
      </c>
      <c r="FD79" s="1">
        <v>1</v>
      </c>
      <c r="FE79" s="1">
        <v>1</v>
      </c>
      <c r="FF79" s="1">
        <v>1</v>
      </c>
      <c r="FG79" s="1">
        <v>1</v>
      </c>
      <c r="FH79" s="1">
        <v>1</v>
      </c>
      <c r="FI79" s="1">
        <v>1</v>
      </c>
      <c r="FJ79" s="1">
        <v>1</v>
      </c>
      <c r="FK79" s="1">
        <v>1</v>
      </c>
      <c r="FL79" s="1">
        <v>1</v>
      </c>
      <c r="FM79" s="1">
        <v>0</v>
      </c>
      <c r="FN79" s="1">
        <v>0</v>
      </c>
      <c r="FO79" s="1">
        <v>0</v>
      </c>
      <c r="FP79" s="1">
        <v>0</v>
      </c>
      <c r="FQ79" s="1">
        <v>1</v>
      </c>
      <c r="FR79" s="1">
        <v>0</v>
      </c>
      <c r="FS79" s="1">
        <v>0</v>
      </c>
      <c r="FT79" s="1">
        <v>0</v>
      </c>
      <c r="FU79" s="1">
        <v>1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1</v>
      </c>
      <c r="GE79" s="1">
        <v>0</v>
      </c>
      <c r="GF79" s="1">
        <v>1</v>
      </c>
      <c r="GG79" s="1">
        <v>1</v>
      </c>
      <c r="GH79" s="1">
        <v>1</v>
      </c>
      <c r="GI79" s="1">
        <v>0</v>
      </c>
      <c r="GJ79" s="1">
        <v>0</v>
      </c>
      <c r="GK79" s="1">
        <v>1</v>
      </c>
      <c r="GL79" s="1">
        <v>0</v>
      </c>
      <c r="GM79" s="1">
        <v>0</v>
      </c>
      <c r="GN79" s="1">
        <v>1</v>
      </c>
      <c r="GO79" s="1">
        <v>0</v>
      </c>
      <c r="GP79" s="1">
        <v>1</v>
      </c>
      <c r="GQ79" s="1">
        <v>0</v>
      </c>
      <c r="GR79" s="1">
        <v>0</v>
      </c>
      <c r="GS79" s="1">
        <v>0</v>
      </c>
      <c r="GT79" s="1">
        <v>1</v>
      </c>
      <c r="GU79" s="1">
        <v>1</v>
      </c>
      <c r="GV79" s="1">
        <v>1</v>
      </c>
      <c r="GW79" s="1">
        <v>1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1</v>
      </c>
      <c r="HD79" s="1">
        <v>1</v>
      </c>
      <c r="HE79" s="1">
        <v>1</v>
      </c>
      <c r="HF79" s="1">
        <v>0</v>
      </c>
    </row>
    <row r="80" spans="1:214" x14ac:dyDescent="0.2">
      <c r="A80" s="1" t="s">
        <v>437</v>
      </c>
      <c r="B80" s="1" t="s">
        <v>437</v>
      </c>
      <c r="D80" s="1" t="s">
        <v>438</v>
      </c>
      <c r="E80" s="1" t="s">
        <v>215</v>
      </c>
      <c r="F80" s="1">
        <v>0</v>
      </c>
      <c r="G80" s="1" t="s">
        <v>251</v>
      </c>
      <c r="H80" s="1" t="s">
        <v>252</v>
      </c>
      <c r="I80" s="1" t="s">
        <v>253</v>
      </c>
      <c r="J80" s="1">
        <v>372</v>
      </c>
      <c r="K80" s="1" t="s">
        <v>22</v>
      </c>
      <c r="L80" s="1" t="s">
        <v>261</v>
      </c>
      <c r="M80" s="1" t="s">
        <v>14</v>
      </c>
      <c r="N80" s="1">
        <f>IF(Regions_master[[#This Row],[Forecaster]]=Regions_master[[#Headers],[Grigor]],1,0)</f>
        <v>0</v>
      </c>
      <c r="O80" s="1">
        <f>IF(Regions_master[[#This Row],[Forecaster]]=Regions_master[[#Headers],[Ingo]],1,0)</f>
        <v>1</v>
      </c>
      <c r="P80" s="1">
        <f>IF(Regions_master[[#This Row],[Forecaster]]=Regions_master[[#Headers],[Danyira]],1,0)</f>
        <v>0</v>
      </c>
      <c r="Q80" s="1">
        <f>IF(Regions_master[[#This Row],[Forecaster]]=Regions_master[[#Headers],[Sebastian]],1,0)</f>
        <v>0</v>
      </c>
      <c r="R80" s="1">
        <f>IF(Regions_master[[#This Row],[Forecaster]]=Regions_master[[#Headers],[Yasu]],1,0)</f>
        <v>0</v>
      </c>
      <c r="S80" s="1">
        <f>IF(Regions_master[[#This Row],[Forecaster]]=Regions_master[[#Headers],[Zhenqian]],1,0)</f>
        <v>0</v>
      </c>
      <c r="T80" s="1">
        <f>IF(Regions_master[[#This Row],[Forecaster]]=Regions_master[[#Headers],[Berna]],1,0)</f>
        <v>0</v>
      </c>
      <c r="U80" s="1">
        <f>IF(Regions_master[[#This Row],[Forecaster]]=Regions_master[[#Headers],[Julian]],1,0)</f>
        <v>0</v>
      </c>
      <c r="V80" s="1">
        <f>IF(Regions_master[[#This Row],[Forecaster]]=Regions_master[[#Headers],[Katarzyna]],1,0)</f>
        <v>0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0</v>
      </c>
      <c r="AI80" s="1">
        <v>0</v>
      </c>
      <c r="AJ80" s="1">
        <v>0</v>
      </c>
      <c r="AK80" s="1">
        <v>1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1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1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1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1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1</v>
      </c>
      <c r="ED80" s="1">
        <v>0</v>
      </c>
      <c r="EE80" s="1">
        <v>0</v>
      </c>
      <c r="EF80" s="1">
        <v>1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1</v>
      </c>
      <c r="FC80" s="1">
        <v>0</v>
      </c>
      <c r="FD80" s="1">
        <v>1</v>
      </c>
      <c r="FE80" s="1">
        <v>1</v>
      </c>
      <c r="FF80" s="1">
        <v>1</v>
      </c>
      <c r="FG80" s="1">
        <v>1</v>
      </c>
      <c r="FH80" s="1">
        <v>1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1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1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</row>
    <row r="81" spans="1:214" x14ac:dyDescent="0.2">
      <c r="A81" s="1" t="s">
        <v>439</v>
      </c>
      <c r="B81" s="1" t="s">
        <v>439</v>
      </c>
      <c r="D81" s="1" t="s">
        <v>440</v>
      </c>
      <c r="E81" s="1" t="s">
        <v>215</v>
      </c>
      <c r="F81" s="1">
        <v>0</v>
      </c>
      <c r="G81" s="1" t="s">
        <v>216</v>
      </c>
      <c r="H81" s="1" t="s">
        <v>264</v>
      </c>
      <c r="I81" s="1" t="s">
        <v>265</v>
      </c>
      <c r="J81" s="1">
        <v>376</v>
      </c>
      <c r="K81" s="1" t="s">
        <v>24</v>
      </c>
      <c r="L81" s="1" t="s">
        <v>261</v>
      </c>
      <c r="M81" s="1" t="s">
        <v>18</v>
      </c>
      <c r="N81" s="1">
        <f>IF(Regions_master[[#This Row],[Forecaster]]=Regions_master[[#Headers],[Grigor]],1,0)</f>
        <v>0</v>
      </c>
      <c r="O81" s="1">
        <f>IF(Regions_master[[#This Row],[Forecaster]]=Regions_master[[#Headers],[Ingo]],1,0)</f>
        <v>0</v>
      </c>
      <c r="P81" s="1">
        <f>IF(Regions_master[[#This Row],[Forecaster]]=Regions_master[[#Headers],[Danyira]],1,0)</f>
        <v>0</v>
      </c>
      <c r="Q81" s="1">
        <f>IF(Regions_master[[#This Row],[Forecaster]]=Regions_master[[#Headers],[Sebastian]],1,0)</f>
        <v>0</v>
      </c>
      <c r="R81" s="1">
        <f>IF(Regions_master[[#This Row],[Forecaster]]=Regions_master[[#Headers],[Yasu]],1,0)</f>
        <v>0</v>
      </c>
      <c r="S81" s="1">
        <f>IF(Regions_master[[#This Row],[Forecaster]]=Regions_master[[#Headers],[Zhenqian]],1,0)</f>
        <v>0</v>
      </c>
      <c r="T81" s="1">
        <f>IF(Regions_master[[#This Row],[Forecaster]]=Regions_master[[#Headers],[Berna]],1,0)</f>
        <v>1</v>
      </c>
      <c r="U81" s="1">
        <f>IF(Regions_master[[#This Row],[Forecaster]]=Regions_master[[#Headers],[Julian]],1,0)</f>
        <v>0</v>
      </c>
      <c r="V81" s="1">
        <f>IF(Regions_master[[#This Row],[Forecaster]]=Regions_master[[#Headers],[Katarzyna]],1,0)</f>
        <v>0</v>
      </c>
      <c r="W81" s="1">
        <v>1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1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1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1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1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1</v>
      </c>
      <c r="DQ81" s="1">
        <v>1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1</v>
      </c>
      <c r="ED81" s="1">
        <v>0</v>
      </c>
      <c r="EE81" s="1">
        <v>0</v>
      </c>
      <c r="EF81" s="1">
        <v>1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1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1</v>
      </c>
      <c r="FC81" s="1">
        <v>0</v>
      </c>
      <c r="FD81" s="1">
        <v>1</v>
      </c>
      <c r="FE81" s="1">
        <v>1</v>
      </c>
      <c r="FF81" s="1">
        <v>1</v>
      </c>
      <c r="FG81" s="1">
        <v>1</v>
      </c>
      <c r="FH81" s="1">
        <v>1</v>
      </c>
      <c r="FI81" s="1">
        <v>1</v>
      </c>
      <c r="FJ81" s="1">
        <v>1</v>
      </c>
      <c r="FK81" s="1">
        <v>1</v>
      </c>
      <c r="FL81" s="1">
        <v>1</v>
      </c>
      <c r="FM81" s="1">
        <v>0</v>
      </c>
      <c r="FN81" s="1">
        <v>0</v>
      </c>
      <c r="FO81" s="1">
        <v>0</v>
      </c>
      <c r="FP81" s="1">
        <v>0</v>
      </c>
      <c r="FQ81" s="1">
        <v>1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1</v>
      </c>
      <c r="GA81" s="1">
        <v>0</v>
      </c>
      <c r="GB81" s="1">
        <v>0</v>
      </c>
      <c r="GC81" s="1">
        <v>0</v>
      </c>
      <c r="GD81" s="1">
        <v>1</v>
      </c>
      <c r="GE81" s="1">
        <v>0</v>
      </c>
      <c r="GF81" s="1">
        <v>1</v>
      </c>
      <c r="GG81" s="1">
        <v>0</v>
      </c>
      <c r="GH81" s="1">
        <v>0</v>
      </c>
      <c r="GI81" s="1">
        <v>0</v>
      </c>
      <c r="GJ81" s="1">
        <v>1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</row>
    <row r="82" spans="1:214" x14ac:dyDescent="0.2">
      <c r="A82" s="1" t="s">
        <v>441</v>
      </c>
      <c r="B82" s="1" t="s">
        <v>441</v>
      </c>
      <c r="D82" s="1" t="s">
        <v>224</v>
      </c>
      <c r="E82" s="1" t="s">
        <v>215</v>
      </c>
      <c r="F82" s="1">
        <v>0</v>
      </c>
      <c r="G82" s="1" t="s">
        <v>251</v>
      </c>
      <c r="H82" s="1" t="s">
        <v>252</v>
      </c>
      <c r="I82" s="1" t="s">
        <v>253</v>
      </c>
      <c r="J82" s="1">
        <v>380</v>
      </c>
      <c r="K82" s="1" t="s">
        <v>22</v>
      </c>
      <c r="L82" s="1" t="s">
        <v>254</v>
      </c>
      <c r="M82" s="1" t="s">
        <v>14</v>
      </c>
      <c r="N82" s="1">
        <f>IF(Regions_master[[#This Row],[Forecaster]]=Regions_master[[#Headers],[Grigor]],1,0)</f>
        <v>0</v>
      </c>
      <c r="O82" s="1">
        <f>IF(Regions_master[[#This Row],[Forecaster]]=Regions_master[[#Headers],[Ingo]],1,0)</f>
        <v>1</v>
      </c>
      <c r="P82" s="1">
        <f>IF(Regions_master[[#This Row],[Forecaster]]=Regions_master[[#Headers],[Danyira]],1,0)</f>
        <v>0</v>
      </c>
      <c r="Q82" s="1">
        <f>IF(Regions_master[[#This Row],[Forecaster]]=Regions_master[[#Headers],[Sebastian]],1,0)</f>
        <v>0</v>
      </c>
      <c r="R82" s="1">
        <f>IF(Regions_master[[#This Row],[Forecaster]]=Regions_master[[#Headers],[Yasu]],1,0)</f>
        <v>0</v>
      </c>
      <c r="S82" s="1">
        <f>IF(Regions_master[[#This Row],[Forecaster]]=Regions_master[[#Headers],[Zhenqian]],1,0)</f>
        <v>0</v>
      </c>
      <c r="T82" s="1">
        <f>IF(Regions_master[[#This Row],[Forecaster]]=Regions_master[[#Headers],[Berna]],1,0)</f>
        <v>0</v>
      </c>
      <c r="U82" s="1">
        <f>IF(Regions_master[[#This Row],[Forecaster]]=Regions_master[[#Headers],[Julian]],1,0)</f>
        <v>0</v>
      </c>
      <c r="V82" s="1">
        <f>IF(Regions_master[[#This Row],[Forecaster]]=Regions_master[[#Headers],[Katarzyna]],1,0)</f>
        <v>0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0</v>
      </c>
      <c r="AI82" s="1">
        <v>1</v>
      </c>
      <c r="AJ82" s="1">
        <v>0</v>
      </c>
      <c r="AK82" s="1">
        <v>1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1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1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1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1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1</v>
      </c>
      <c r="EE82" s="1">
        <v>0</v>
      </c>
      <c r="EF82" s="1">
        <v>1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1</v>
      </c>
      <c r="FB82" s="1">
        <v>1</v>
      </c>
      <c r="FC82" s="1">
        <v>0</v>
      </c>
      <c r="FD82" s="1">
        <v>1</v>
      </c>
      <c r="FE82" s="1">
        <v>1</v>
      </c>
      <c r="FF82" s="1">
        <v>1</v>
      </c>
      <c r="FG82" s="1">
        <v>1</v>
      </c>
      <c r="FH82" s="1">
        <v>1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1</v>
      </c>
      <c r="GH82" s="1">
        <v>0</v>
      </c>
      <c r="GI82" s="1">
        <v>0</v>
      </c>
      <c r="GJ82" s="1">
        <v>1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</row>
    <row r="83" spans="1:214" x14ac:dyDescent="0.2">
      <c r="A83" s="1" t="s">
        <v>442</v>
      </c>
      <c r="B83" s="1" t="s">
        <v>442</v>
      </c>
      <c r="D83" s="1" t="s">
        <v>443</v>
      </c>
      <c r="E83" s="1" t="s">
        <v>215</v>
      </c>
      <c r="F83" s="1">
        <v>0</v>
      </c>
      <c r="G83" s="1" t="s">
        <v>238</v>
      </c>
      <c r="H83" s="1" t="s">
        <v>259</v>
      </c>
      <c r="I83" s="1" t="s">
        <v>260</v>
      </c>
      <c r="J83" s="1">
        <v>388</v>
      </c>
      <c r="K83" s="1" t="s">
        <v>24</v>
      </c>
      <c r="L83" s="1" t="s">
        <v>261</v>
      </c>
      <c r="M83" s="1" t="s">
        <v>16</v>
      </c>
      <c r="N83" s="1">
        <f>IF(Regions_master[[#This Row],[Forecaster]]=Regions_master[[#Headers],[Grigor]],1,0)</f>
        <v>0</v>
      </c>
      <c r="O83" s="1">
        <f>IF(Regions_master[[#This Row],[Forecaster]]=Regions_master[[#Headers],[Ingo]],1,0)</f>
        <v>0</v>
      </c>
      <c r="P83" s="1">
        <f>IF(Regions_master[[#This Row],[Forecaster]]=Regions_master[[#Headers],[Danyira]],1,0)</f>
        <v>0</v>
      </c>
      <c r="Q83" s="1">
        <f>IF(Regions_master[[#This Row],[Forecaster]]=Regions_master[[#Headers],[Sebastian]],1,0)</f>
        <v>1</v>
      </c>
      <c r="R83" s="1">
        <f>IF(Regions_master[[#This Row],[Forecaster]]=Regions_master[[#Headers],[Yasu]],1,0)</f>
        <v>0</v>
      </c>
      <c r="S83" s="1">
        <f>IF(Regions_master[[#This Row],[Forecaster]]=Regions_master[[#Headers],[Zhenqian]],1,0)</f>
        <v>0</v>
      </c>
      <c r="T83" s="1">
        <f>IF(Regions_master[[#This Row],[Forecaster]]=Regions_master[[#Headers],[Berna]],1,0)</f>
        <v>0</v>
      </c>
      <c r="U83" s="1">
        <f>IF(Regions_master[[#This Row],[Forecaster]]=Regions_master[[#Headers],[Julian]],1,0)</f>
        <v>0</v>
      </c>
      <c r="V83" s="1">
        <f>IF(Regions_master[[#This Row],[Forecaster]]=Regions_master[[#Headers],[Katarzyna]],1,0)</f>
        <v>0</v>
      </c>
      <c r="W83" s="1">
        <v>1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1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1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1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1</v>
      </c>
      <c r="CR83" s="1">
        <v>0</v>
      </c>
      <c r="CS83" s="1">
        <v>0</v>
      </c>
      <c r="CT83" s="1">
        <v>0</v>
      </c>
      <c r="CU83" s="1">
        <v>1</v>
      </c>
      <c r="CV83" s="1">
        <v>1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1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1</v>
      </c>
      <c r="DQ83" s="1">
        <v>1</v>
      </c>
      <c r="DR83" s="1">
        <v>1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1</v>
      </c>
      <c r="ED83" s="1">
        <v>0</v>
      </c>
      <c r="EE83" s="1">
        <v>1</v>
      </c>
      <c r="EF83" s="1">
        <v>0</v>
      </c>
      <c r="EG83" s="1">
        <v>0</v>
      </c>
      <c r="EH83" s="1">
        <v>1</v>
      </c>
      <c r="EI83" s="1">
        <v>1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1</v>
      </c>
      <c r="EP83" s="1">
        <v>0</v>
      </c>
      <c r="EQ83" s="1">
        <v>0</v>
      </c>
      <c r="ER83" s="1">
        <v>0</v>
      </c>
      <c r="ES83" s="1">
        <v>1</v>
      </c>
      <c r="ET83" s="1">
        <v>1</v>
      </c>
      <c r="EU83" s="1">
        <v>0</v>
      </c>
      <c r="EV83" s="1">
        <v>0</v>
      </c>
      <c r="EW83" s="1">
        <v>0</v>
      </c>
      <c r="EX83" s="1">
        <v>1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1</v>
      </c>
      <c r="FE83" s="1">
        <v>1</v>
      </c>
      <c r="FF83" s="1">
        <v>1</v>
      </c>
      <c r="FG83" s="1">
        <v>1</v>
      </c>
      <c r="FH83" s="1">
        <v>1</v>
      </c>
      <c r="FI83" s="1">
        <v>1</v>
      </c>
      <c r="FJ83" s="1">
        <v>1</v>
      </c>
      <c r="FK83" s="1">
        <v>1</v>
      </c>
      <c r="FL83" s="1">
        <v>1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1</v>
      </c>
      <c r="FW83" s="1">
        <v>0</v>
      </c>
      <c r="FX83" s="1">
        <v>0</v>
      </c>
      <c r="FY83" s="1">
        <v>0</v>
      </c>
      <c r="FZ83" s="1">
        <v>0</v>
      </c>
      <c r="GA83" s="1">
        <v>1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1</v>
      </c>
      <c r="GI83" s="1">
        <v>0</v>
      </c>
      <c r="GJ83" s="1">
        <v>0</v>
      </c>
      <c r="GK83" s="1">
        <v>1</v>
      </c>
      <c r="GL83" s="1">
        <v>0</v>
      </c>
      <c r="GM83" s="1">
        <v>0</v>
      </c>
      <c r="GN83" s="1">
        <v>1</v>
      </c>
      <c r="GO83" s="1">
        <v>0</v>
      </c>
      <c r="GP83" s="1">
        <v>0</v>
      </c>
      <c r="GQ83" s="1">
        <v>0</v>
      </c>
      <c r="GR83" s="1">
        <v>0</v>
      </c>
      <c r="GS83" s="1">
        <v>1</v>
      </c>
      <c r="GT83" s="1">
        <v>1</v>
      </c>
      <c r="GU83" s="1">
        <v>1</v>
      </c>
      <c r="GV83" s="1">
        <v>1</v>
      </c>
      <c r="GW83" s="1">
        <v>1</v>
      </c>
      <c r="GX83" s="1">
        <v>0</v>
      </c>
      <c r="GY83" s="1">
        <v>0</v>
      </c>
      <c r="GZ83" s="1">
        <v>0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>
        <v>0</v>
      </c>
    </row>
    <row r="84" spans="1:214" x14ac:dyDescent="0.2">
      <c r="A84" s="1" t="s">
        <v>444</v>
      </c>
      <c r="B84" s="1" t="s">
        <v>444</v>
      </c>
      <c r="D84" s="1" t="s">
        <v>298</v>
      </c>
      <c r="E84" s="1" t="s">
        <v>215</v>
      </c>
      <c r="F84" s="1">
        <v>0</v>
      </c>
      <c r="G84" s="1" t="s">
        <v>248</v>
      </c>
      <c r="H84" s="1" t="s">
        <v>223</v>
      </c>
      <c r="I84" s="1" t="s">
        <v>248</v>
      </c>
      <c r="J84" s="1">
        <v>392</v>
      </c>
      <c r="K84" s="1" t="s">
        <v>22</v>
      </c>
      <c r="L84" s="1" t="s">
        <v>261</v>
      </c>
      <c r="M84" s="1" t="s">
        <v>17</v>
      </c>
      <c r="N84" s="1">
        <f>IF(Regions_master[[#This Row],[Forecaster]]=Regions_master[[#Headers],[Grigor]],1,0)</f>
        <v>0</v>
      </c>
      <c r="O84" s="1">
        <f>IF(Regions_master[[#This Row],[Forecaster]]=Regions_master[[#Headers],[Ingo]],1,0)</f>
        <v>0</v>
      </c>
      <c r="P84" s="1">
        <f>IF(Regions_master[[#This Row],[Forecaster]]=Regions_master[[#Headers],[Danyira]],1,0)</f>
        <v>0</v>
      </c>
      <c r="Q84" s="1">
        <f>IF(Regions_master[[#This Row],[Forecaster]]=Regions_master[[#Headers],[Sebastian]],1,0)</f>
        <v>0</v>
      </c>
      <c r="R84" s="1">
        <f>IF(Regions_master[[#This Row],[Forecaster]]=Regions_master[[#Headers],[Yasu]],1,0)</f>
        <v>1</v>
      </c>
      <c r="S84" s="1">
        <f>IF(Regions_master[[#This Row],[Forecaster]]=Regions_master[[#Headers],[Zhenqian]],1,0)</f>
        <v>0</v>
      </c>
      <c r="T84" s="1">
        <f>IF(Regions_master[[#This Row],[Forecaster]]=Regions_master[[#Headers],[Berna]],1,0)</f>
        <v>0</v>
      </c>
      <c r="U84" s="1">
        <f>IF(Regions_master[[#This Row],[Forecaster]]=Regions_master[[#Headers],[Julian]],1,0)</f>
        <v>0</v>
      </c>
      <c r="V84" s="1">
        <f>IF(Regions_master[[#This Row],[Forecaster]]=Regions_master[[#Headers],[Katarzyna]],1,0)</f>
        <v>0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1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1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1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1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1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1</v>
      </c>
      <c r="ED84" s="1">
        <v>0</v>
      </c>
      <c r="EE84" s="1">
        <v>0</v>
      </c>
      <c r="EF84" s="1">
        <v>1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1</v>
      </c>
      <c r="FC84" s="1">
        <v>0</v>
      </c>
      <c r="FD84" s="1">
        <v>1</v>
      </c>
      <c r="FE84" s="1">
        <v>1</v>
      </c>
      <c r="FF84" s="1">
        <v>1</v>
      </c>
      <c r="FG84" s="1">
        <v>1</v>
      </c>
      <c r="FH84" s="1">
        <v>1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1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1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</row>
    <row r="85" spans="1:214" x14ac:dyDescent="0.2">
      <c r="A85" s="1" t="s">
        <v>445</v>
      </c>
      <c r="B85" s="1" t="s">
        <v>445</v>
      </c>
      <c r="D85" s="1" t="s">
        <v>446</v>
      </c>
      <c r="E85" s="1" t="s">
        <v>215</v>
      </c>
      <c r="F85" s="1">
        <v>0</v>
      </c>
      <c r="G85" s="1" t="s">
        <v>216</v>
      </c>
      <c r="H85" s="1" t="s">
        <v>264</v>
      </c>
      <c r="I85" s="1" t="s">
        <v>265</v>
      </c>
      <c r="J85" s="1">
        <v>400</v>
      </c>
      <c r="K85" s="1" t="s">
        <v>24</v>
      </c>
      <c r="L85" s="1" t="s">
        <v>266</v>
      </c>
      <c r="M85" s="1" t="s">
        <v>18</v>
      </c>
      <c r="N85" s="1">
        <f>IF(Regions_master[[#This Row],[Forecaster]]=Regions_master[[#Headers],[Grigor]],1,0)</f>
        <v>0</v>
      </c>
      <c r="O85" s="1">
        <f>IF(Regions_master[[#This Row],[Forecaster]]=Regions_master[[#Headers],[Ingo]],1,0)</f>
        <v>0</v>
      </c>
      <c r="P85" s="1">
        <f>IF(Regions_master[[#This Row],[Forecaster]]=Regions_master[[#Headers],[Danyira]],1,0)</f>
        <v>0</v>
      </c>
      <c r="Q85" s="1">
        <f>IF(Regions_master[[#This Row],[Forecaster]]=Regions_master[[#Headers],[Sebastian]],1,0)</f>
        <v>0</v>
      </c>
      <c r="R85" s="1">
        <f>IF(Regions_master[[#This Row],[Forecaster]]=Regions_master[[#Headers],[Yasu]],1,0)</f>
        <v>0</v>
      </c>
      <c r="S85" s="1">
        <f>IF(Regions_master[[#This Row],[Forecaster]]=Regions_master[[#Headers],[Zhenqian]],1,0)</f>
        <v>0</v>
      </c>
      <c r="T85" s="1">
        <f>IF(Regions_master[[#This Row],[Forecaster]]=Regions_master[[#Headers],[Berna]],1,0)</f>
        <v>1</v>
      </c>
      <c r="U85" s="1">
        <f>IF(Regions_master[[#This Row],[Forecaster]]=Regions_master[[#Headers],[Julian]],1,0)</f>
        <v>0</v>
      </c>
      <c r="V85" s="1">
        <f>IF(Regions_master[[#This Row],[Forecaster]]=Regions_master[[#Headers],[Katarzyna]],1,0)</f>
        <v>0</v>
      </c>
      <c r="W85" s="1">
        <v>1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0</v>
      </c>
      <c r="AW85" s="1">
        <v>0</v>
      </c>
      <c r="AX85" s="1">
        <v>1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1</v>
      </c>
      <c r="BO85" s="1">
        <v>0</v>
      </c>
      <c r="BP85" s="1">
        <v>0</v>
      </c>
      <c r="BQ85" s="1">
        <v>0</v>
      </c>
      <c r="BR85" s="1">
        <v>0</v>
      </c>
      <c r="BS85" s="1">
        <v>1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1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1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1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1</v>
      </c>
      <c r="DO85" s="1">
        <v>0</v>
      </c>
      <c r="DP85" s="1">
        <v>1</v>
      </c>
      <c r="DQ85" s="1">
        <v>1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1</v>
      </c>
      <c r="EE85" s="1">
        <v>1</v>
      </c>
      <c r="EF85" s="1">
        <v>1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1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1</v>
      </c>
      <c r="FB85" s="1">
        <v>1</v>
      </c>
      <c r="FC85" s="1">
        <v>0</v>
      </c>
      <c r="FD85" s="1">
        <v>1</v>
      </c>
      <c r="FE85" s="1">
        <v>1</v>
      </c>
      <c r="FF85" s="1">
        <v>1</v>
      </c>
      <c r="FG85" s="1">
        <v>1</v>
      </c>
      <c r="FH85" s="1">
        <v>1</v>
      </c>
      <c r="FI85" s="1">
        <v>1</v>
      </c>
      <c r="FJ85" s="1">
        <v>1</v>
      </c>
      <c r="FK85" s="1">
        <v>1</v>
      </c>
      <c r="FL85" s="1">
        <v>1</v>
      </c>
      <c r="FM85" s="1">
        <v>0</v>
      </c>
      <c r="FN85" s="1">
        <v>0</v>
      </c>
      <c r="FO85" s="1">
        <v>0</v>
      </c>
      <c r="FP85" s="1">
        <v>0</v>
      </c>
      <c r="FQ85" s="1">
        <v>1</v>
      </c>
      <c r="FR85" s="1">
        <v>0</v>
      </c>
      <c r="FS85" s="1">
        <v>0</v>
      </c>
      <c r="FT85" s="1">
        <v>0</v>
      </c>
      <c r="FU85" s="1">
        <v>1</v>
      </c>
      <c r="FV85" s="1">
        <v>0</v>
      </c>
      <c r="FW85" s="1">
        <v>0</v>
      </c>
      <c r="FX85" s="1">
        <v>0</v>
      </c>
      <c r="FY85" s="1">
        <v>0</v>
      </c>
      <c r="FZ85" s="1">
        <v>1</v>
      </c>
      <c r="GA85" s="1">
        <v>0</v>
      </c>
      <c r="GB85" s="1">
        <v>0</v>
      </c>
      <c r="GC85" s="1">
        <v>0</v>
      </c>
      <c r="GD85" s="1">
        <v>1</v>
      </c>
      <c r="GE85" s="1">
        <v>0</v>
      </c>
      <c r="GF85" s="1">
        <v>1</v>
      </c>
      <c r="GG85" s="1">
        <v>1</v>
      </c>
      <c r="GH85" s="1">
        <v>0</v>
      </c>
      <c r="GI85" s="1">
        <v>0</v>
      </c>
      <c r="GJ85" s="1">
        <v>1</v>
      </c>
      <c r="GK85" s="1">
        <v>0</v>
      </c>
      <c r="GL85" s="1">
        <v>1</v>
      </c>
      <c r="GM85" s="1">
        <v>0</v>
      </c>
      <c r="GN85" s="1">
        <v>1</v>
      </c>
      <c r="GO85" s="1">
        <v>0</v>
      </c>
      <c r="GP85" s="1">
        <v>1</v>
      </c>
      <c r="GQ85" s="1">
        <v>0</v>
      </c>
      <c r="GR85" s="1">
        <v>0</v>
      </c>
      <c r="GS85" s="1">
        <v>0</v>
      </c>
      <c r="GT85" s="1">
        <v>1</v>
      </c>
      <c r="GU85" s="1">
        <v>1</v>
      </c>
      <c r="GV85" s="1">
        <v>1</v>
      </c>
      <c r="GW85" s="1">
        <v>1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1</v>
      </c>
      <c r="HD85" s="1">
        <v>1</v>
      </c>
      <c r="HE85" s="1">
        <v>0</v>
      </c>
      <c r="HF85" s="1">
        <v>0</v>
      </c>
    </row>
    <row r="86" spans="1:214" x14ac:dyDescent="0.2">
      <c r="A86" s="1" t="s">
        <v>447</v>
      </c>
      <c r="B86" s="1" t="s">
        <v>447</v>
      </c>
      <c r="D86" s="1" t="s">
        <v>448</v>
      </c>
      <c r="E86" s="1" t="s">
        <v>215</v>
      </c>
      <c r="F86" s="1">
        <v>0</v>
      </c>
      <c r="G86" s="1" t="s">
        <v>244</v>
      </c>
      <c r="H86" s="1" t="s">
        <v>223</v>
      </c>
      <c r="I86" s="1" t="s">
        <v>244</v>
      </c>
      <c r="J86" s="1">
        <v>398</v>
      </c>
      <c r="K86" s="1" t="s">
        <v>23</v>
      </c>
      <c r="L86" s="1" t="s">
        <v>224</v>
      </c>
      <c r="M86" s="1" t="s">
        <v>13</v>
      </c>
      <c r="N86" s="1">
        <f>IF(Regions_master[[#This Row],[Forecaster]]=Regions_master[[#Headers],[Grigor]],1,0)</f>
        <v>1</v>
      </c>
      <c r="O86" s="1">
        <f>IF(Regions_master[[#This Row],[Forecaster]]=Regions_master[[#Headers],[Ingo]],1,0)</f>
        <v>0</v>
      </c>
      <c r="P86" s="1">
        <f>IF(Regions_master[[#This Row],[Forecaster]]=Regions_master[[#Headers],[Danyira]],1,0)</f>
        <v>0</v>
      </c>
      <c r="Q86" s="1">
        <f>IF(Regions_master[[#This Row],[Forecaster]]=Regions_master[[#Headers],[Sebastian]],1,0)</f>
        <v>0</v>
      </c>
      <c r="R86" s="1">
        <f>IF(Regions_master[[#This Row],[Forecaster]]=Regions_master[[#Headers],[Yasu]],1,0)</f>
        <v>0</v>
      </c>
      <c r="S86" s="1">
        <f>IF(Regions_master[[#This Row],[Forecaster]]=Regions_master[[#Headers],[Zhenqian]],1,0)</f>
        <v>0</v>
      </c>
      <c r="T86" s="1">
        <f>IF(Regions_master[[#This Row],[Forecaster]]=Regions_master[[#Headers],[Berna]],1,0)</f>
        <v>0</v>
      </c>
      <c r="U86" s="1">
        <f>IF(Regions_master[[#This Row],[Forecaster]]=Regions_master[[#Headers],[Julian]],1,0)</f>
        <v>0</v>
      </c>
      <c r="V86" s="1">
        <f>IF(Regions_master[[#This Row],[Forecaster]]=Regions_master[[#Headers],[Katarzyna]],1,0)</f>
        <v>0</v>
      </c>
      <c r="W86" s="1">
        <v>1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1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1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1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1</v>
      </c>
      <c r="CW86" s="1">
        <v>0</v>
      </c>
      <c r="CX86" s="1">
        <v>0</v>
      </c>
      <c r="CY86" s="1">
        <v>1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1</v>
      </c>
      <c r="DP86" s="1">
        <v>1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1</v>
      </c>
      <c r="ED86" s="1">
        <v>0</v>
      </c>
      <c r="EE86" s="1">
        <v>0</v>
      </c>
      <c r="EF86" s="1">
        <v>0</v>
      </c>
      <c r="EG86" s="1">
        <v>0</v>
      </c>
      <c r="EH86" s="1">
        <v>1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1</v>
      </c>
      <c r="ET86" s="1">
        <v>0</v>
      </c>
      <c r="EU86" s="1">
        <v>1</v>
      </c>
      <c r="EV86" s="1">
        <v>0</v>
      </c>
      <c r="EW86" s="1">
        <v>0</v>
      </c>
      <c r="EX86" s="1">
        <v>1</v>
      </c>
      <c r="EY86" s="1">
        <v>1</v>
      </c>
      <c r="EZ86" s="1">
        <v>1</v>
      </c>
      <c r="FA86" s="1">
        <v>0</v>
      </c>
      <c r="FB86" s="1">
        <v>0</v>
      </c>
      <c r="FC86" s="1">
        <v>1</v>
      </c>
      <c r="FD86" s="1">
        <v>1</v>
      </c>
      <c r="FE86" s="1">
        <v>1</v>
      </c>
      <c r="FF86" s="1">
        <v>1</v>
      </c>
      <c r="FG86" s="1">
        <v>1</v>
      </c>
      <c r="FH86" s="1">
        <v>1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1</v>
      </c>
      <c r="GE86" s="1">
        <v>0</v>
      </c>
      <c r="GF86" s="1">
        <v>0</v>
      </c>
      <c r="GG86" s="1">
        <v>0</v>
      </c>
      <c r="GH86" s="1">
        <v>1</v>
      </c>
      <c r="GI86" s="1">
        <v>0</v>
      </c>
      <c r="GJ86" s="1">
        <v>0</v>
      </c>
      <c r="GK86" s="1">
        <v>1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1</v>
      </c>
      <c r="GU86" s="1">
        <v>1</v>
      </c>
      <c r="GV86" s="1">
        <v>1</v>
      </c>
      <c r="GW86" s="1">
        <v>1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1</v>
      </c>
      <c r="HD86" s="1">
        <v>1</v>
      </c>
      <c r="HE86" s="1">
        <v>1</v>
      </c>
      <c r="HF86" s="1">
        <v>1</v>
      </c>
    </row>
    <row r="87" spans="1:214" x14ac:dyDescent="0.2">
      <c r="A87" s="1" t="s">
        <v>449</v>
      </c>
      <c r="B87" s="1" t="s">
        <v>449</v>
      </c>
      <c r="D87" s="1" t="s">
        <v>450</v>
      </c>
      <c r="E87" s="1" t="s">
        <v>215</v>
      </c>
      <c r="F87" s="1">
        <v>0</v>
      </c>
      <c r="G87" s="1" t="s">
        <v>227</v>
      </c>
      <c r="H87" s="1" t="s">
        <v>308</v>
      </c>
      <c r="I87" s="1" t="s">
        <v>309</v>
      </c>
      <c r="J87" s="1">
        <v>404</v>
      </c>
      <c r="K87" s="1" t="s">
        <v>24</v>
      </c>
      <c r="L87" s="1" t="s">
        <v>451</v>
      </c>
      <c r="M87" s="1" t="s">
        <v>19</v>
      </c>
      <c r="N87" s="1">
        <f>IF(Regions_master[[#This Row],[Forecaster]]=Regions_master[[#Headers],[Grigor]],1,0)</f>
        <v>0</v>
      </c>
      <c r="O87" s="1">
        <f>IF(Regions_master[[#This Row],[Forecaster]]=Regions_master[[#Headers],[Ingo]],1,0)</f>
        <v>0</v>
      </c>
      <c r="P87" s="1">
        <f>IF(Regions_master[[#This Row],[Forecaster]]=Regions_master[[#Headers],[Danyira]],1,0)</f>
        <v>0</v>
      </c>
      <c r="Q87" s="1">
        <f>IF(Regions_master[[#This Row],[Forecaster]]=Regions_master[[#Headers],[Sebastian]],1,0)</f>
        <v>0</v>
      </c>
      <c r="R87" s="1">
        <f>IF(Regions_master[[#This Row],[Forecaster]]=Regions_master[[#Headers],[Yasu]],1,0)</f>
        <v>0</v>
      </c>
      <c r="S87" s="1">
        <f>IF(Regions_master[[#This Row],[Forecaster]]=Regions_master[[#Headers],[Zhenqian]],1,0)</f>
        <v>0</v>
      </c>
      <c r="T87" s="1">
        <f>IF(Regions_master[[#This Row],[Forecaster]]=Regions_master[[#Headers],[Berna]],1,0)</f>
        <v>0</v>
      </c>
      <c r="U87" s="1">
        <f>IF(Regions_master[[#This Row],[Forecaster]]=Regions_master[[#Headers],[Julian]],1,0)</f>
        <v>1</v>
      </c>
      <c r="V87" s="1">
        <f>IF(Regions_master[[#This Row],[Forecaster]]=Regions_master[[#Headers],[Katarzyna]],1,0)</f>
        <v>0</v>
      </c>
      <c r="W87" s="1">
        <v>1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</v>
      </c>
      <c r="AO87" s="1">
        <v>0</v>
      </c>
      <c r="AP87" s="1">
        <v>0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1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1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1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1</v>
      </c>
      <c r="CV87" s="1">
        <v>1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1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1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1</v>
      </c>
      <c r="DQ87" s="1">
        <v>1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1</v>
      </c>
      <c r="EA87" s="1">
        <v>0</v>
      </c>
      <c r="EB87" s="1">
        <v>0</v>
      </c>
      <c r="EC87" s="1">
        <v>1</v>
      </c>
      <c r="ED87" s="1">
        <v>0</v>
      </c>
      <c r="EE87" s="1">
        <v>0</v>
      </c>
      <c r="EF87" s="1">
        <v>0</v>
      </c>
      <c r="EG87" s="1">
        <v>1</v>
      </c>
      <c r="EH87" s="1">
        <v>0</v>
      </c>
      <c r="EI87" s="1">
        <v>0</v>
      </c>
      <c r="EJ87" s="1">
        <v>0</v>
      </c>
      <c r="EK87" s="1">
        <v>1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1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1</v>
      </c>
      <c r="FE87" s="1">
        <v>1</v>
      </c>
      <c r="FF87" s="1">
        <v>1</v>
      </c>
      <c r="FG87" s="1">
        <v>1</v>
      </c>
      <c r="FH87" s="1">
        <v>1</v>
      </c>
      <c r="FI87" s="1">
        <v>1</v>
      </c>
      <c r="FJ87" s="1">
        <v>1</v>
      </c>
      <c r="FK87" s="1">
        <v>1</v>
      </c>
      <c r="FL87" s="1">
        <v>1</v>
      </c>
      <c r="FM87" s="1">
        <v>0</v>
      </c>
      <c r="FN87" s="1">
        <v>0</v>
      </c>
      <c r="FO87" s="1">
        <v>0</v>
      </c>
      <c r="FP87" s="1">
        <v>1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1</v>
      </c>
      <c r="FY87" s="1">
        <v>0</v>
      </c>
      <c r="FZ87" s="1">
        <v>0</v>
      </c>
      <c r="GA87" s="1">
        <v>0</v>
      </c>
      <c r="GB87" s="1">
        <v>0</v>
      </c>
      <c r="GC87" s="1">
        <v>1</v>
      </c>
      <c r="GD87" s="1">
        <v>0</v>
      </c>
      <c r="GE87" s="1">
        <v>0</v>
      </c>
      <c r="GF87" s="1">
        <v>0</v>
      </c>
      <c r="GG87" s="1">
        <v>0</v>
      </c>
      <c r="GH87" s="1">
        <v>1</v>
      </c>
      <c r="GI87" s="1">
        <v>1</v>
      </c>
      <c r="GJ87" s="1">
        <v>0</v>
      </c>
      <c r="GK87" s="1">
        <v>0</v>
      </c>
      <c r="GL87" s="1">
        <v>1</v>
      </c>
      <c r="GM87" s="1">
        <v>0</v>
      </c>
      <c r="GN87" s="1">
        <v>1</v>
      </c>
      <c r="GO87" s="1">
        <v>0</v>
      </c>
      <c r="GP87" s="1">
        <v>0</v>
      </c>
      <c r="GQ87" s="1">
        <v>1</v>
      </c>
      <c r="GR87" s="1">
        <v>0</v>
      </c>
      <c r="GS87" s="1">
        <v>0</v>
      </c>
      <c r="GT87" s="1">
        <v>1</v>
      </c>
      <c r="GU87" s="1">
        <v>1</v>
      </c>
      <c r="GV87" s="1">
        <v>1</v>
      </c>
      <c r="GW87" s="1">
        <v>1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1</v>
      </c>
      <c r="HD87" s="1">
        <v>1</v>
      </c>
      <c r="HE87" s="1">
        <v>0</v>
      </c>
      <c r="HF87" s="1">
        <v>0</v>
      </c>
    </row>
    <row r="88" spans="1:214" x14ac:dyDescent="0.2">
      <c r="A88" s="1" t="s">
        <v>452</v>
      </c>
      <c r="B88" s="1" t="s">
        <v>452</v>
      </c>
      <c r="D88" s="1" t="s">
        <v>453</v>
      </c>
      <c r="E88" s="1" t="s">
        <v>215</v>
      </c>
      <c r="F88" s="1">
        <v>0</v>
      </c>
      <c r="G88" s="1" t="s">
        <v>216</v>
      </c>
      <c r="H88" s="1" t="s">
        <v>296</v>
      </c>
      <c r="I88" s="1" t="s">
        <v>297</v>
      </c>
      <c r="J88" s="1">
        <v>296</v>
      </c>
      <c r="K88" s="1" t="s">
        <v>24</v>
      </c>
      <c r="L88" s="1" t="s">
        <v>377</v>
      </c>
      <c r="M88" s="1" t="s">
        <v>15</v>
      </c>
      <c r="N88" s="1">
        <f>IF(Regions_master[[#This Row],[Forecaster]]=Regions_master[[#Headers],[Grigor]],1,0)</f>
        <v>0</v>
      </c>
      <c r="O88" s="1">
        <f>IF(Regions_master[[#This Row],[Forecaster]]=Regions_master[[#Headers],[Ingo]],1,0)</f>
        <v>0</v>
      </c>
      <c r="P88" s="1">
        <f>IF(Regions_master[[#This Row],[Forecaster]]=Regions_master[[#Headers],[Danyira]],1,0)</f>
        <v>1</v>
      </c>
      <c r="Q88" s="1">
        <f>IF(Regions_master[[#This Row],[Forecaster]]=Regions_master[[#Headers],[Sebastian]],1,0)</f>
        <v>0</v>
      </c>
      <c r="R88" s="1">
        <f>IF(Regions_master[[#This Row],[Forecaster]]=Regions_master[[#Headers],[Yasu]],1,0)</f>
        <v>0</v>
      </c>
      <c r="S88" s="1">
        <f>IF(Regions_master[[#This Row],[Forecaster]]=Regions_master[[#Headers],[Zhenqian]],1,0)</f>
        <v>0</v>
      </c>
      <c r="T88" s="1">
        <f>IF(Regions_master[[#This Row],[Forecaster]]=Regions_master[[#Headers],[Berna]],1,0)</f>
        <v>0</v>
      </c>
      <c r="U88" s="1">
        <f>IF(Regions_master[[#This Row],[Forecaster]]=Regions_master[[#Headers],[Julian]],1,0)</f>
        <v>0</v>
      </c>
      <c r="V88" s="1">
        <f>IF(Regions_master[[#This Row],[Forecaster]]=Regions_master[[#Headers],[Katarzyna]],1,0)</f>
        <v>0</v>
      </c>
      <c r="W88" s="1">
        <v>1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1</v>
      </c>
      <c r="AU88" s="1">
        <v>1</v>
      </c>
      <c r="AV88" s="1">
        <v>0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</v>
      </c>
      <c r="BG88" s="1">
        <v>0</v>
      </c>
      <c r="BH88" s="1">
        <v>1</v>
      </c>
      <c r="BI88" s="1">
        <v>0</v>
      </c>
      <c r="BJ88" s="1">
        <v>0</v>
      </c>
      <c r="BK88" s="1">
        <v>0</v>
      </c>
      <c r="BL88" s="1">
        <v>1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1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1</v>
      </c>
      <c r="CV88" s="1">
        <v>1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1</v>
      </c>
      <c r="DD88" s="1">
        <v>0</v>
      </c>
      <c r="DE88" s="1">
        <v>1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1</v>
      </c>
      <c r="DM88" s="1">
        <v>0</v>
      </c>
      <c r="DN88" s="1">
        <v>0</v>
      </c>
      <c r="DO88" s="1">
        <v>0</v>
      </c>
      <c r="DP88" s="1">
        <v>1</v>
      </c>
      <c r="DQ88" s="1">
        <v>1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1</v>
      </c>
      <c r="EE88" s="1">
        <v>0</v>
      </c>
      <c r="EF88" s="1">
        <v>0</v>
      </c>
      <c r="EG88" s="1">
        <v>1</v>
      </c>
      <c r="EH88" s="1">
        <v>0</v>
      </c>
      <c r="EI88" s="1">
        <v>1</v>
      </c>
      <c r="EJ88" s="1">
        <v>1</v>
      </c>
      <c r="EK88" s="1">
        <v>0</v>
      </c>
      <c r="EL88" s="1">
        <v>0</v>
      </c>
      <c r="EM88" s="1">
        <v>0</v>
      </c>
      <c r="EN88" s="1">
        <v>1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1</v>
      </c>
      <c r="FB88" s="1">
        <v>0</v>
      </c>
      <c r="FC88" s="1">
        <v>0</v>
      </c>
      <c r="FD88" s="1">
        <v>1</v>
      </c>
      <c r="FE88" s="1">
        <v>1</v>
      </c>
      <c r="FF88" s="1">
        <v>1</v>
      </c>
      <c r="FG88" s="1">
        <v>1</v>
      </c>
      <c r="FH88" s="1">
        <v>1</v>
      </c>
      <c r="FI88" s="1">
        <v>1</v>
      </c>
      <c r="FJ88" s="1">
        <v>1</v>
      </c>
      <c r="FK88" s="1">
        <v>1</v>
      </c>
      <c r="FL88" s="1">
        <v>1</v>
      </c>
      <c r="FM88" s="1">
        <v>0</v>
      </c>
      <c r="FN88" s="1">
        <v>0</v>
      </c>
      <c r="FO88" s="1">
        <v>0</v>
      </c>
      <c r="FP88" s="1">
        <v>0</v>
      </c>
      <c r="FQ88" s="1">
        <v>1</v>
      </c>
      <c r="FR88" s="1">
        <v>0</v>
      </c>
      <c r="FS88" s="1">
        <v>1</v>
      </c>
      <c r="FT88" s="1">
        <v>1</v>
      </c>
      <c r="FU88" s="1">
        <v>0</v>
      </c>
      <c r="FV88" s="1">
        <v>0</v>
      </c>
      <c r="FW88" s="1">
        <v>0</v>
      </c>
      <c r="FX88" s="1">
        <v>0</v>
      </c>
      <c r="FY88" s="1">
        <v>1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1</v>
      </c>
      <c r="GH88" s="1">
        <v>1</v>
      </c>
      <c r="GI88" s="1">
        <v>1</v>
      </c>
      <c r="GJ88" s="1">
        <v>0</v>
      </c>
      <c r="GK88" s="1">
        <v>0</v>
      </c>
      <c r="GL88" s="1">
        <v>1</v>
      </c>
      <c r="GM88" s="1">
        <v>0</v>
      </c>
      <c r="GN88" s="1">
        <v>1</v>
      </c>
      <c r="GO88" s="1">
        <v>1</v>
      </c>
      <c r="GP88" s="1">
        <v>0</v>
      </c>
      <c r="GQ88" s="1">
        <v>0</v>
      </c>
      <c r="GR88" s="1">
        <v>0</v>
      </c>
      <c r="GS88" s="1">
        <v>0</v>
      </c>
      <c r="GT88" s="1">
        <v>1</v>
      </c>
      <c r="GU88" s="1">
        <v>1</v>
      </c>
      <c r="GV88" s="1">
        <v>1</v>
      </c>
      <c r="GW88" s="1">
        <v>1</v>
      </c>
      <c r="GX88" s="1">
        <v>1</v>
      </c>
      <c r="GY88" s="1">
        <v>0</v>
      </c>
      <c r="GZ88" s="1">
        <v>0</v>
      </c>
      <c r="HA88" s="1">
        <v>0</v>
      </c>
      <c r="HB88" s="1">
        <v>0</v>
      </c>
      <c r="HC88" s="1">
        <v>1</v>
      </c>
      <c r="HD88" s="1">
        <v>1</v>
      </c>
      <c r="HE88" s="1">
        <v>0</v>
      </c>
      <c r="HF88" s="1">
        <v>0</v>
      </c>
    </row>
    <row r="89" spans="1:214" x14ac:dyDescent="0.2">
      <c r="A89" s="1" t="s">
        <v>454</v>
      </c>
      <c r="B89" s="1" t="s">
        <v>454</v>
      </c>
      <c r="D89" s="1" t="s">
        <v>455</v>
      </c>
      <c r="E89" s="1" t="s">
        <v>215</v>
      </c>
      <c r="F89" s="1">
        <v>0</v>
      </c>
      <c r="G89" s="1" t="s">
        <v>216</v>
      </c>
      <c r="H89" s="1" t="s">
        <v>264</v>
      </c>
      <c r="I89" s="1" t="s">
        <v>265</v>
      </c>
      <c r="J89" s="1">
        <v>414</v>
      </c>
      <c r="K89" s="1" t="s">
        <v>24</v>
      </c>
      <c r="L89" s="1" t="s">
        <v>456</v>
      </c>
      <c r="M89" s="1" t="s">
        <v>18</v>
      </c>
      <c r="N89" s="1">
        <f>IF(Regions_master[[#This Row],[Forecaster]]=Regions_master[[#Headers],[Grigor]],1,0)</f>
        <v>0</v>
      </c>
      <c r="O89" s="1">
        <f>IF(Regions_master[[#This Row],[Forecaster]]=Regions_master[[#Headers],[Ingo]],1,0)</f>
        <v>0</v>
      </c>
      <c r="P89" s="1">
        <f>IF(Regions_master[[#This Row],[Forecaster]]=Regions_master[[#Headers],[Danyira]],1,0)</f>
        <v>0</v>
      </c>
      <c r="Q89" s="1">
        <f>IF(Regions_master[[#This Row],[Forecaster]]=Regions_master[[#Headers],[Sebastian]],1,0)</f>
        <v>0</v>
      </c>
      <c r="R89" s="1">
        <f>IF(Regions_master[[#This Row],[Forecaster]]=Regions_master[[#Headers],[Yasu]],1,0)</f>
        <v>0</v>
      </c>
      <c r="S89" s="1">
        <f>IF(Regions_master[[#This Row],[Forecaster]]=Regions_master[[#Headers],[Zhenqian]],1,0)</f>
        <v>0</v>
      </c>
      <c r="T89" s="1">
        <f>IF(Regions_master[[#This Row],[Forecaster]]=Regions_master[[#Headers],[Berna]],1,0)</f>
        <v>1</v>
      </c>
      <c r="U89" s="1">
        <f>IF(Regions_master[[#This Row],[Forecaster]]=Regions_master[[#Headers],[Julian]],1,0)</f>
        <v>0</v>
      </c>
      <c r="V89" s="1">
        <f>IF(Regions_master[[#This Row],[Forecaster]]=Regions_master[[#Headers],[Katarzyna]],1,0)</f>
        <v>0</v>
      </c>
      <c r="W89" s="1">
        <v>1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0</v>
      </c>
      <c r="AW89" s="1">
        <v>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1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1</v>
      </c>
      <c r="BO89" s="1">
        <v>0</v>
      </c>
      <c r="BP89" s="1">
        <v>0</v>
      </c>
      <c r="BQ89" s="1">
        <v>0</v>
      </c>
      <c r="BR89" s="1">
        <v>0</v>
      </c>
      <c r="BS89" s="1">
        <v>1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1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1</v>
      </c>
      <c r="CV89" s="1">
        <v>1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1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1</v>
      </c>
      <c r="DO89" s="1">
        <v>0</v>
      </c>
      <c r="DP89" s="1">
        <v>1</v>
      </c>
      <c r="DQ89" s="1">
        <v>1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1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1</v>
      </c>
      <c r="EE89" s="1">
        <v>0</v>
      </c>
      <c r="EF89" s="1">
        <v>0</v>
      </c>
      <c r="EG89" s="1">
        <v>0</v>
      </c>
      <c r="EH89" s="1">
        <v>1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1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1</v>
      </c>
      <c r="EY89" s="1">
        <v>0</v>
      </c>
      <c r="EZ89" s="1">
        <v>0</v>
      </c>
      <c r="FA89" s="1">
        <v>1</v>
      </c>
      <c r="FB89" s="1">
        <v>0</v>
      </c>
      <c r="FC89" s="1">
        <v>0</v>
      </c>
      <c r="FD89" s="1">
        <v>1</v>
      </c>
      <c r="FE89" s="1">
        <v>1</v>
      </c>
      <c r="FF89" s="1">
        <v>1</v>
      </c>
      <c r="FG89" s="1">
        <v>1</v>
      </c>
      <c r="FH89" s="1">
        <v>1</v>
      </c>
      <c r="FI89" s="1">
        <v>1</v>
      </c>
      <c r="FJ89" s="1">
        <v>1</v>
      </c>
      <c r="FK89" s="1">
        <v>1</v>
      </c>
      <c r="FL89" s="1">
        <v>1</v>
      </c>
      <c r="FM89" s="1">
        <v>0</v>
      </c>
      <c r="FN89" s="1">
        <v>0</v>
      </c>
      <c r="FO89" s="1">
        <v>0</v>
      </c>
      <c r="FP89" s="1">
        <v>0</v>
      </c>
      <c r="FQ89" s="1">
        <v>1</v>
      </c>
      <c r="FR89" s="1">
        <v>0</v>
      </c>
      <c r="FS89" s="1">
        <v>0</v>
      </c>
      <c r="FT89" s="1">
        <v>0</v>
      </c>
      <c r="FU89" s="1">
        <v>1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1</v>
      </c>
      <c r="GE89" s="1">
        <v>0</v>
      </c>
      <c r="GF89" s="1">
        <v>1</v>
      </c>
      <c r="GG89" s="1">
        <v>1</v>
      </c>
      <c r="GH89" s="1">
        <v>1</v>
      </c>
      <c r="GI89" s="1">
        <v>0</v>
      </c>
      <c r="GJ89" s="1">
        <v>0</v>
      </c>
      <c r="GK89" s="1">
        <v>1</v>
      </c>
      <c r="GL89" s="1">
        <v>0</v>
      </c>
      <c r="GM89" s="1">
        <v>0</v>
      </c>
      <c r="GN89" s="1">
        <v>1</v>
      </c>
      <c r="GO89" s="1">
        <v>0</v>
      </c>
      <c r="GP89" s="1">
        <v>1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</row>
    <row r="90" spans="1:214" x14ac:dyDescent="0.2">
      <c r="A90" s="1" t="s">
        <v>457</v>
      </c>
      <c r="B90" s="1" t="s">
        <v>457</v>
      </c>
      <c r="D90" s="1" t="s">
        <v>458</v>
      </c>
      <c r="E90" s="1" t="s">
        <v>215</v>
      </c>
      <c r="F90" s="1">
        <v>0</v>
      </c>
      <c r="G90" s="1" t="s">
        <v>244</v>
      </c>
      <c r="H90" s="1" t="s">
        <v>223</v>
      </c>
      <c r="I90" s="1" t="s">
        <v>244</v>
      </c>
      <c r="J90" s="1">
        <v>417</v>
      </c>
      <c r="K90" s="1" t="s">
        <v>23</v>
      </c>
      <c r="L90" s="1" t="s">
        <v>305</v>
      </c>
      <c r="M90" s="1" t="s">
        <v>13</v>
      </c>
      <c r="N90" s="1">
        <f>IF(Regions_master[[#This Row],[Forecaster]]=Regions_master[[#Headers],[Grigor]],1,0)</f>
        <v>1</v>
      </c>
      <c r="O90" s="1">
        <f>IF(Regions_master[[#This Row],[Forecaster]]=Regions_master[[#Headers],[Ingo]],1,0)</f>
        <v>0</v>
      </c>
      <c r="P90" s="1">
        <f>IF(Regions_master[[#This Row],[Forecaster]]=Regions_master[[#Headers],[Danyira]],1,0)</f>
        <v>0</v>
      </c>
      <c r="Q90" s="1">
        <f>IF(Regions_master[[#This Row],[Forecaster]]=Regions_master[[#Headers],[Sebastian]],1,0)</f>
        <v>0</v>
      </c>
      <c r="R90" s="1">
        <f>IF(Regions_master[[#This Row],[Forecaster]]=Regions_master[[#Headers],[Yasu]],1,0)</f>
        <v>0</v>
      </c>
      <c r="S90" s="1">
        <f>IF(Regions_master[[#This Row],[Forecaster]]=Regions_master[[#Headers],[Zhenqian]],1,0)</f>
        <v>0</v>
      </c>
      <c r="T90" s="1">
        <f>IF(Regions_master[[#This Row],[Forecaster]]=Regions_master[[#Headers],[Berna]],1,0)</f>
        <v>0</v>
      </c>
      <c r="U90" s="1">
        <f>IF(Regions_master[[#This Row],[Forecaster]]=Regions_master[[#Headers],[Julian]],1,0)</f>
        <v>0</v>
      </c>
      <c r="V90" s="1">
        <f>IF(Regions_master[[#This Row],[Forecaster]]=Regions_master[[#Headers],[Katarzyna]],1,0)</f>
        <v>0</v>
      </c>
      <c r="W90" s="1">
        <v>1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1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1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1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1</v>
      </c>
      <c r="CW90" s="1">
        <v>0</v>
      </c>
      <c r="CX90" s="1">
        <v>0</v>
      </c>
      <c r="CY90" s="1">
        <v>0</v>
      </c>
      <c r="CZ90" s="1">
        <v>1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1</v>
      </c>
      <c r="DP90" s="1">
        <v>1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1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1</v>
      </c>
      <c r="EV90" s="1">
        <v>0</v>
      </c>
      <c r="EW90" s="1">
        <v>0</v>
      </c>
      <c r="EX90" s="1">
        <v>1</v>
      </c>
      <c r="EY90" s="1">
        <v>1</v>
      </c>
      <c r="EZ90" s="1">
        <v>1</v>
      </c>
      <c r="FA90" s="1">
        <v>1</v>
      </c>
      <c r="FB90" s="1">
        <v>0</v>
      </c>
      <c r="FC90" s="1">
        <v>1</v>
      </c>
      <c r="FD90" s="1">
        <v>1</v>
      </c>
      <c r="FE90" s="1">
        <v>1</v>
      </c>
      <c r="FF90" s="1">
        <v>1</v>
      </c>
      <c r="FG90" s="1">
        <v>1</v>
      </c>
      <c r="FH90" s="1">
        <v>1</v>
      </c>
      <c r="FI90" s="1">
        <v>0</v>
      </c>
      <c r="FJ90" s="1">
        <v>0</v>
      </c>
      <c r="FK90" s="1">
        <v>0</v>
      </c>
      <c r="FL90" s="1">
        <v>0</v>
      </c>
      <c r="FM90" s="1">
        <v>1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1</v>
      </c>
      <c r="GE90" s="1">
        <v>0</v>
      </c>
      <c r="GF90" s="1">
        <v>0</v>
      </c>
      <c r="GG90" s="1">
        <v>1</v>
      </c>
      <c r="GH90" s="1">
        <v>1</v>
      </c>
      <c r="GI90" s="1">
        <v>0</v>
      </c>
      <c r="GJ90" s="1">
        <v>0</v>
      </c>
      <c r="GK90" s="1">
        <v>0</v>
      </c>
      <c r="GL90" s="1">
        <v>1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1</v>
      </c>
      <c r="GT90" s="1">
        <v>1</v>
      </c>
      <c r="GU90" s="1">
        <v>1</v>
      </c>
      <c r="GV90" s="1">
        <v>1</v>
      </c>
      <c r="GW90" s="1">
        <v>1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1</v>
      </c>
      <c r="HD90" s="1">
        <v>1</v>
      </c>
      <c r="HE90" s="1">
        <v>0</v>
      </c>
      <c r="HF90" s="1">
        <v>1</v>
      </c>
    </row>
    <row r="91" spans="1:214" x14ac:dyDescent="0.2">
      <c r="A91" s="1" t="s">
        <v>459</v>
      </c>
      <c r="B91" s="1" t="s">
        <v>460</v>
      </c>
      <c r="D91" s="1" t="s">
        <v>461</v>
      </c>
      <c r="E91" s="1" t="s">
        <v>215</v>
      </c>
      <c r="F91" s="1">
        <v>0</v>
      </c>
      <c r="G91" s="1" t="s">
        <v>216</v>
      </c>
      <c r="H91" s="1" t="s">
        <v>296</v>
      </c>
      <c r="I91" s="1" t="s">
        <v>297</v>
      </c>
      <c r="J91" s="1">
        <v>418</v>
      </c>
      <c r="K91" s="1" t="s">
        <v>24</v>
      </c>
      <c r="L91" s="1" t="s">
        <v>462</v>
      </c>
      <c r="M91" s="1" t="s">
        <v>299</v>
      </c>
      <c r="N91" s="1">
        <f>IF(Regions_master[[#This Row],[Forecaster]]=Regions_master[[#Headers],[Grigor]],1,0)</f>
        <v>0</v>
      </c>
      <c r="O91" s="1">
        <f>IF(Regions_master[[#This Row],[Forecaster]]=Regions_master[[#Headers],[Ingo]],1,0)</f>
        <v>0</v>
      </c>
      <c r="P91" s="1">
        <f>IF(Regions_master[[#This Row],[Forecaster]]=Regions_master[[#Headers],[Danyira]],1,0)</f>
        <v>0</v>
      </c>
      <c r="Q91" s="1">
        <f>IF(Regions_master[[#This Row],[Forecaster]]=Regions_master[[#Headers],[Sebastian]],1,0)</f>
        <v>0</v>
      </c>
      <c r="R91" s="1">
        <f>IF(Regions_master[[#This Row],[Forecaster]]=Regions_master[[#Headers],[Yasu]],1,0)</f>
        <v>0</v>
      </c>
      <c r="S91" s="1">
        <f>IF(Regions_master[[#This Row],[Forecaster]]=Regions_master[[#Headers],[Zhenqian]],1,0)</f>
        <v>1</v>
      </c>
      <c r="T91" s="1">
        <f>IF(Regions_master[[#This Row],[Forecaster]]=Regions_master[[#Headers],[Berna]],1,0)</f>
        <v>0</v>
      </c>
      <c r="U91" s="1">
        <f>IF(Regions_master[[#This Row],[Forecaster]]=Regions_master[[#Headers],[Julian]],1,0)</f>
        <v>0</v>
      </c>
      <c r="V91" s="1">
        <f>IF(Regions_master[[#This Row],[Forecaster]]=Regions_master[[#Headers],[Katarzyna]],1,0)</f>
        <v>0</v>
      </c>
      <c r="W91" s="1">
        <v>1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0</v>
      </c>
      <c r="BH91" s="1">
        <v>1</v>
      </c>
      <c r="BI91" s="1">
        <v>0</v>
      </c>
      <c r="BJ91" s="1">
        <v>0</v>
      </c>
      <c r="BK91" s="1">
        <v>0</v>
      </c>
      <c r="BL91" s="1">
        <v>0</v>
      </c>
      <c r="BM91" s="1">
        <v>1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1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1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1</v>
      </c>
      <c r="CV91" s="1">
        <v>1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1</v>
      </c>
      <c r="DD91" s="1">
        <v>0</v>
      </c>
      <c r="DE91" s="1">
        <v>1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1</v>
      </c>
      <c r="DM91" s="1">
        <v>0</v>
      </c>
      <c r="DN91" s="1">
        <v>0</v>
      </c>
      <c r="DO91" s="1">
        <v>0</v>
      </c>
      <c r="DP91" s="1">
        <v>1</v>
      </c>
      <c r="DQ91" s="1">
        <v>1</v>
      </c>
      <c r="DR91" s="1">
        <v>0</v>
      </c>
      <c r="DS91" s="1">
        <v>0</v>
      </c>
      <c r="DT91" s="1">
        <v>0</v>
      </c>
      <c r="DU91" s="1">
        <v>1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1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1</v>
      </c>
      <c r="EK91" s="1">
        <v>0</v>
      </c>
      <c r="EL91" s="1">
        <v>0</v>
      </c>
      <c r="EM91" s="1">
        <v>0</v>
      </c>
      <c r="EN91" s="1">
        <v>1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1</v>
      </c>
      <c r="EV91" s="1">
        <v>0</v>
      </c>
      <c r="EW91" s="1">
        <v>0</v>
      </c>
      <c r="EX91" s="1">
        <v>1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1</v>
      </c>
      <c r="FE91" s="1">
        <v>1</v>
      </c>
      <c r="FF91" s="1">
        <v>1</v>
      </c>
      <c r="FG91" s="1">
        <v>1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 s="1">
        <v>0</v>
      </c>
      <c r="FN91" s="1">
        <v>0</v>
      </c>
      <c r="FO91" s="1">
        <v>0</v>
      </c>
      <c r="FP91" s="1">
        <v>0</v>
      </c>
      <c r="FQ91" s="1">
        <v>1</v>
      </c>
      <c r="FR91" s="1">
        <v>0</v>
      </c>
      <c r="FS91" s="1">
        <v>1</v>
      </c>
      <c r="FT91" s="1">
        <v>1</v>
      </c>
      <c r="FU91" s="1">
        <v>0</v>
      </c>
      <c r="FV91" s="1">
        <v>0</v>
      </c>
      <c r="FW91" s="1">
        <v>0</v>
      </c>
      <c r="FX91" s="1">
        <v>0</v>
      </c>
      <c r="FY91" s="1">
        <v>1</v>
      </c>
      <c r="FZ91" s="1">
        <v>0</v>
      </c>
      <c r="GA91" s="1">
        <v>0</v>
      </c>
      <c r="GB91" s="1">
        <v>0</v>
      </c>
      <c r="GC91" s="1">
        <v>0</v>
      </c>
      <c r="GD91" s="1">
        <v>1</v>
      </c>
      <c r="GE91" s="1">
        <v>0</v>
      </c>
      <c r="GF91" s="1">
        <v>0</v>
      </c>
      <c r="GG91" s="1">
        <v>0</v>
      </c>
      <c r="GH91" s="1">
        <v>1</v>
      </c>
      <c r="GI91" s="1">
        <v>0</v>
      </c>
      <c r="GJ91" s="1">
        <v>0</v>
      </c>
      <c r="GK91" s="1">
        <v>0</v>
      </c>
      <c r="GL91" s="1">
        <v>1</v>
      </c>
      <c r="GM91" s="1">
        <v>0</v>
      </c>
      <c r="GN91" s="1">
        <v>1</v>
      </c>
      <c r="GO91" s="1">
        <v>1</v>
      </c>
      <c r="GP91" s="1">
        <v>0</v>
      </c>
      <c r="GQ91" s="1">
        <v>0</v>
      </c>
      <c r="GR91" s="1">
        <v>0</v>
      </c>
      <c r="GS91" s="1">
        <v>0</v>
      </c>
      <c r="GT91" s="1">
        <v>1</v>
      </c>
      <c r="GU91" s="1">
        <v>1</v>
      </c>
      <c r="GV91" s="1">
        <v>1</v>
      </c>
      <c r="GW91" s="1">
        <v>1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1</v>
      </c>
      <c r="HD91" s="1">
        <v>1</v>
      </c>
      <c r="HE91" s="1">
        <v>0</v>
      </c>
      <c r="HF91" s="1">
        <v>0</v>
      </c>
    </row>
    <row r="92" spans="1:214" x14ac:dyDescent="0.2">
      <c r="A92" s="1" t="s">
        <v>463</v>
      </c>
      <c r="B92" s="1" t="s">
        <v>463</v>
      </c>
      <c r="D92" s="1" t="s">
        <v>464</v>
      </c>
      <c r="E92" s="1" t="s">
        <v>215</v>
      </c>
      <c r="F92" s="1">
        <v>0</v>
      </c>
      <c r="G92" s="1" t="s">
        <v>251</v>
      </c>
      <c r="H92" s="1" t="s">
        <v>252</v>
      </c>
      <c r="I92" s="1" t="s">
        <v>253</v>
      </c>
      <c r="J92" s="1">
        <v>428</v>
      </c>
      <c r="K92" s="1" t="s">
        <v>22</v>
      </c>
      <c r="L92" s="1" t="s">
        <v>465</v>
      </c>
      <c r="M92" s="1" t="s">
        <v>13</v>
      </c>
      <c r="N92" s="1">
        <f>IF(Regions_master[[#This Row],[Forecaster]]=Regions_master[[#Headers],[Grigor]],1,0)</f>
        <v>1</v>
      </c>
      <c r="O92" s="1">
        <f>IF(Regions_master[[#This Row],[Forecaster]]=Regions_master[[#Headers],[Ingo]],1,0)</f>
        <v>0</v>
      </c>
      <c r="P92" s="1">
        <f>IF(Regions_master[[#This Row],[Forecaster]]=Regions_master[[#Headers],[Danyira]],1,0)</f>
        <v>0</v>
      </c>
      <c r="Q92" s="1">
        <f>IF(Regions_master[[#This Row],[Forecaster]]=Regions_master[[#Headers],[Sebastian]],1,0)</f>
        <v>0</v>
      </c>
      <c r="R92" s="1">
        <f>IF(Regions_master[[#This Row],[Forecaster]]=Regions_master[[#Headers],[Yasu]],1,0)</f>
        <v>0</v>
      </c>
      <c r="S92" s="1">
        <f>IF(Regions_master[[#This Row],[Forecaster]]=Regions_master[[#Headers],[Zhenqian]],1,0)</f>
        <v>0</v>
      </c>
      <c r="T92" s="1">
        <f>IF(Regions_master[[#This Row],[Forecaster]]=Regions_master[[#Headers],[Berna]],1,0)</f>
        <v>0</v>
      </c>
      <c r="U92" s="1">
        <f>IF(Regions_master[[#This Row],[Forecaster]]=Regions_master[[#Headers],[Julian]],1,0)</f>
        <v>0</v>
      </c>
      <c r="V92" s="1">
        <f>IF(Regions_master[[#This Row],[Forecaster]]=Regions_master[[#Headers],[Katarzyna]],1,0)</f>
        <v>0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0</v>
      </c>
      <c r="AI92" s="1">
        <v>0</v>
      </c>
      <c r="AJ92" s="1">
        <v>0</v>
      </c>
      <c r="AK92" s="1">
        <v>1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1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1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1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1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1</v>
      </c>
      <c r="ED92" s="1">
        <v>0</v>
      </c>
      <c r="EE92" s="1">
        <v>0</v>
      </c>
      <c r="EF92" s="1">
        <v>1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1</v>
      </c>
      <c r="FC92" s="1">
        <v>0</v>
      </c>
      <c r="FD92" s="1">
        <v>1</v>
      </c>
      <c r="FE92" s="1">
        <v>1</v>
      </c>
      <c r="FF92" s="1">
        <v>1</v>
      </c>
      <c r="FG92" s="1">
        <v>1</v>
      </c>
      <c r="FH92" s="1">
        <v>1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1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1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</row>
    <row r="93" spans="1:214" x14ac:dyDescent="0.2">
      <c r="A93" s="1" t="s">
        <v>466</v>
      </c>
      <c r="B93" s="1" t="s">
        <v>466</v>
      </c>
      <c r="D93" s="1" t="s">
        <v>467</v>
      </c>
      <c r="E93" s="1" t="s">
        <v>215</v>
      </c>
      <c r="F93" s="1">
        <v>0</v>
      </c>
      <c r="G93" s="1" t="s">
        <v>216</v>
      </c>
      <c r="H93" s="1" t="s">
        <v>264</v>
      </c>
      <c r="I93" s="1" t="s">
        <v>265</v>
      </c>
      <c r="J93" s="1">
        <v>422</v>
      </c>
      <c r="K93" s="1" t="s">
        <v>24</v>
      </c>
      <c r="L93" s="1" t="s">
        <v>266</v>
      </c>
      <c r="M93" s="1" t="s">
        <v>18</v>
      </c>
      <c r="N93" s="1">
        <f>IF(Regions_master[[#This Row],[Forecaster]]=Regions_master[[#Headers],[Grigor]],1,0)</f>
        <v>0</v>
      </c>
      <c r="O93" s="1">
        <f>IF(Regions_master[[#This Row],[Forecaster]]=Regions_master[[#Headers],[Ingo]],1,0)</f>
        <v>0</v>
      </c>
      <c r="P93" s="1">
        <f>IF(Regions_master[[#This Row],[Forecaster]]=Regions_master[[#Headers],[Danyira]],1,0)</f>
        <v>0</v>
      </c>
      <c r="Q93" s="1">
        <f>IF(Regions_master[[#This Row],[Forecaster]]=Regions_master[[#Headers],[Sebastian]],1,0)</f>
        <v>0</v>
      </c>
      <c r="R93" s="1">
        <f>IF(Regions_master[[#This Row],[Forecaster]]=Regions_master[[#Headers],[Yasu]],1,0)</f>
        <v>0</v>
      </c>
      <c r="S93" s="1">
        <f>IF(Regions_master[[#This Row],[Forecaster]]=Regions_master[[#Headers],[Zhenqian]],1,0)</f>
        <v>0</v>
      </c>
      <c r="T93" s="1">
        <f>IF(Regions_master[[#This Row],[Forecaster]]=Regions_master[[#Headers],[Berna]],1,0)</f>
        <v>1</v>
      </c>
      <c r="U93" s="1">
        <f>IF(Regions_master[[#This Row],[Forecaster]]=Regions_master[[#Headers],[Julian]],1,0)</f>
        <v>0</v>
      </c>
      <c r="V93" s="1">
        <f>IF(Regions_master[[#This Row],[Forecaster]]=Regions_master[[#Headers],[Katarzyna]],1,0)</f>
        <v>0</v>
      </c>
      <c r="W93" s="1">
        <v>1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1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</v>
      </c>
      <c r="BO93" s="1">
        <v>0</v>
      </c>
      <c r="BP93" s="1">
        <v>0</v>
      </c>
      <c r="BQ93" s="1">
        <v>0</v>
      </c>
      <c r="BR93" s="1">
        <v>0</v>
      </c>
      <c r="BS93" s="1">
        <v>1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1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1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1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1</v>
      </c>
      <c r="DO93" s="1">
        <v>0</v>
      </c>
      <c r="DP93" s="1">
        <v>1</v>
      </c>
      <c r="DQ93" s="1">
        <v>1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1</v>
      </c>
      <c r="EE93" s="1">
        <v>1</v>
      </c>
      <c r="EF93" s="1">
        <v>1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1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1</v>
      </c>
      <c r="FB93" s="1">
        <v>1</v>
      </c>
      <c r="FC93" s="1">
        <v>0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0</v>
      </c>
      <c r="FN93" s="1">
        <v>0</v>
      </c>
      <c r="FO93" s="1">
        <v>0</v>
      </c>
      <c r="FP93" s="1">
        <v>0</v>
      </c>
      <c r="FQ93" s="1">
        <v>1</v>
      </c>
      <c r="FR93" s="1">
        <v>0</v>
      </c>
      <c r="FS93" s="1">
        <v>0</v>
      </c>
      <c r="FT93" s="1">
        <v>0</v>
      </c>
      <c r="FU93" s="1">
        <v>1</v>
      </c>
      <c r="FV93" s="1">
        <v>0</v>
      </c>
      <c r="FW93" s="1">
        <v>0</v>
      </c>
      <c r="FX93" s="1">
        <v>0</v>
      </c>
      <c r="FY93" s="1">
        <v>0</v>
      </c>
      <c r="FZ93" s="1">
        <v>1</v>
      </c>
      <c r="GA93" s="1">
        <v>0</v>
      </c>
      <c r="GB93" s="1">
        <v>0</v>
      </c>
      <c r="GC93" s="1">
        <v>0</v>
      </c>
      <c r="GD93" s="1">
        <v>1</v>
      </c>
      <c r="GE93" s="1">
        <v>0</v>
      </c>
      <c r="GF93" s="1">
        <v>1</v>
      </c>
      <c r="GG93" s="1">
        <v>1</v>
      </c>
      <c r="GH93" s="1">
        <v>0</v>
      </c>
      <c r="GI93" s="1">
        <v>0</v>
      </c>
      <c r="GJ93" s="1">
        <v>1</v>
      </c>
      <c r="GK93" s="1">
        <v>0</v>
      </c>
      <c r="GL93" s="1">
        <v>1</v>
      </c>
      <c r="GM93" s="1">
        <v>0</v>
      </c>
      <c r="GN93" s="1">
        <v>1</v>
      </c>
      <c r="GO93" s="1">
        <v>0</v>
      </c>
      <c r="GP93" s="1">
        <v>1</v>
      </c>
      <c r="GQ93" s="1">
        <v>0</v>
      </c>
      <c r="GR93" s="1">
        <v>0</v>
      </c>
      <c r="GS93" s="1">
        <v>0</v>
      </c>
      <c r="GT93" s="1">
        <v>1</v>
      </c>
      <c r="GU93" s="1">
        <v>1</v>
      </c>
      <c r="GV93" s="1">
        <v>1</v>
      </c>
      <c r="GW93" s="1">
        <v>1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1</v>
      </c>
      <c r="HD93" s="1">
        <v>1</v>
      </c>
      <c r="HE93" s="1">
        <v>0</v>
      </c>
      <c r="HF93" s="1">
        <v>0</v>
      </c>
    </row>
    <row r="94" spans="1:214" x14ac:dyDescent="0.2">
      <c r="A94" s="1" t="s">
        <v>468</v>
      </c>
      <c r="B94" s="1" t="s">
        <v>468</v>
      </c>
      <c r="D94" s="1" t="s">
        <v>469</v>
      </c>
      <c r="E94" s="1" t="s">
        <v>215</v>
      </c>
      <c r="F94" s="1">
        <v>0</v>
      </c>
      <c r="G94" s="1" t="s">
        <v>227</v>
      </c>
      <c r="H94" s="1" t="s">
        <v>233</v>
      </c>
      <c r="I94" s="1" t="s">
        <v>234</v>
      </c>
      <c r="J94" s="1">
        <v>426</v>
      </c>
      <c r="K94" s="1" t="s">
        <v>24</v>
      </c>
      <c r="L94" s="1" t="s">
        <v>389</v>
      </c>
      <c r="M94" s="1" t="s">
        <v>20</v>
      </c>
      <c r="N94" s="1">
        <f>IF(Regions_master[[#This Row],[Forecaster]]=Regions_master[[#Headers],[Grigor]],1,0)</f>
        <v>0</v>
      </c>
      <c r="O94" s="1">
        <f>IF(Regions_master[[#This Row],[Forecaster]]=Regions_master[[#Headers],[Ingo]],1,0)</f>
        <v>0</v>
      </c>
      <c r="P94" s="1">
        <f>IF(Regions_master[[#This Row],[Forecaster]]=Regions_master[[#Headers],[Danyira]],1,0)</f>
        <v>0</v>
      </c>
      <c r="Q94" s="1">
        <f>IF(Regions_master[[#This Row],[Forecaster]]=Regions_master[[#Headers],[Sebastian]],1,0)</f>
        <v>0</v>
      </c>
      <c r="R94" s="1">
        <f>IF(Regions_master[[#This Row],[Forecaster]]=Regions_master[[#Headers],[Yasu]],1,0)</f>
        <v>0</v>
      </c>
      <c r="S94" s="1">
        <f>IF(Regions_master[[#This Row],[Forecaster]]=Regions_master[[#Headers],[Zhenqian]],1,0)</f>
        <v>0</v>
      </c>
      <c r="T94" s="1">
        <f>IF(Regions_master[[#This Row],[Forecaster]]=Regions_master[[#Headers],[Berna]],1,0)</f>
        <v>0</v>
      </c>
      <c r="U94" s="1">
        <f>IF(Regions_master[[#This Row],[Forecaster]]=Regions_master[[#Headers],[Julian]],1,0)</f>
        <v>0</v>
      </c>
      <c r="V94" s="1">
        <f>IF(Regions_master[[#This Row],[Forecaster]]=Regions_master[[#Headers],[Katarzyna]],1,0)</f>
        <v>1</v>
      </c>
      <c r="W94" s="1">
        <v>1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1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0</v>
      </c>
      <c r="BH94" s="1">
        <v>1</v>
      </c>
      <c r="BI94" s="1">
        <v>0</v>
      </c>
      <c r="BJ94" s="1">
        <v>0</v>
      </c>
      <c r="BK94" s="1">
        <v>0</v>
      </c>
      <c r="BL94" s="1">
        <v>0</v>
      </c>
      <c r="BM94" s="1">
        <v>1</v>
      </c>
      <c r="BN94" s="1">
        <v>0</v>
      </c>
      <c r="BO94" s="1">
        <v>0</v>
      </c>
      <c r="BP94" s="1">
        <v>0</v>
      </c>
      <c r="BQ94" s="1">
        <v>1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1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1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1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1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1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1</v>
      </c>
      <c r="DQ94" s="1">
        <v>1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1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1</v>
      </c>
      <c r="EE94" s="1">
        <v>0</v>
      </c>
      <c r="EF94" s="1">
        <v>1</v>
      </c>
      <c r="EG94" s="1">
        <v>0</v>
      </c>
      <c r="EH94" s="1">
        <v>0</v>
      </c>
      <c r="EI94" s="1">
        <v>0</v>
      </c>
      <c r="EJ94" s="1">
        <v>1</v>
      </c>
      <c r="EK94" s="1">
        <v>1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1</v>
      </c>
      <c r="ER94" s="1">
        <v>0</v>
      </c>
      <c r="ES94" s="1">
        <v>0</v>
      </c>
      <c r="ET94" s="1">
        <v>0</v>
      </c>
      <c r="EU94" s="1">
        <v>1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1</v>
      </c>
      <c r="FB94" s="1">
        <v>1</v>
      </c>
      <c r="FC94" s="1">
        <v>0</v>
      </c>
      <c r="FD94" s="1">
        <v>1</v>
      </c>
      <c r="FE94" s="1">
        <v>1</v>
      </c>
      <c r="FF94" s="1">
        <v>1</v>
      </c>
      <c r="FG94" s="1">
        <v>1</v>
      </c>
      <c r="FH94" s="1">
        <v>1</v>
      </c>
      <c r="FI94" s="1">
        <v>1</v>
      </c>
      <c r="FJ94" s="1">
        <v>1</v>
      </c>
      <c r="FK94" s="1">
        <v>1</v>
      </c>
      <c r="FL94" s="1">
        <v>1</v>
      </c>
      <c r="FM94" s="1">
        <v>0</v>
      </c>
      <c r="FN94" s="1">
        <v>0</v>
      </c>
      <c r="FO94" s="1">
        <v>0</v>
      </c>
      <c r="FP94" s="1">
        <v>1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1</v>
      </c>
      <c r="FY94" s="1">
        <v>0</v>
      </c>
      <c r="FZ94" s="1">
        <v>0</v>
      </c>
      <c r="GA94" s="1">
        <v>0</v>
      </c>
      <c r="GB94" s="1">
        <v>0</v>
      </c>
      <c r="GC94" s="1">
        <v>1</v>
      </c>
      <c r="GD94" s="1">
        <v>0</v>
      </c>
      <c r="GE94" s="1">
        <v>0</v>
      </c>
      <c r="GF94" s="1">
        <v>0</v>
      </c>
      <c r="GG94" s="1">
        <v>1</v>
      </c>
      <c r="GH94" s="1">
        <v>0</v>
      </c>
      <c r="GI94" s="1">
        <v>0</v>
      </c>
      <c r="GJ94" s="1">
        <v>1</v>
      </c>
      <c r="GK94" s="1">
        <v>0</v>
      </c>
      <c r="GL94" s="1">
        <v>1</v>
      </c>
      <c r="GM94" s="1">
        <v>0</v>
      </c>
      <c r="GN94" s="1">
        <v>1</v>
      </c>
      <c r="GO94" s="1">
        <v>1</v>
      </c>
      <c r="GP94" s="1">
        <v>0</v>
      </c>
      <c r="GQ94" s="1">
        <v>1</v>
      </c>
      <c r="GR94" s="1">
        <v>0</v>
      </c>
      <c r="GS94" s="1">
        <v>0</v>
      </c>
      <c r="GT94" s="1">
        <v>1</v>
      </c>
      <c r="GU94" s="1">
        <v>1</v>
      </c>
      <c r="GV94" s="1">
        <v>1</v>
      </c>
      <c r="GW94" s="1">
        <v>1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1</v>
      </c>
      <c r="HD94" s="1">
        <v>1</v>
      </c>
      <c r="HE94" s="1">
        <v>0</v>
      </c>
      <c r="HF94" s="1">
        <v>0</v>
      </c>
    </row>
    <row r="95" spans="1:214" x14ac:dyDescent="0.2">
      <c r="A95" s="1" t="s">
        <v>470</v>
      </c>
      <c r="B95" s="1" t="s">
        <v>470</v>
      </c>
      <c r="D95" s="1" t="s">
        <v>471</v>
      </c>
      <c r="E95" s="1" t="s">
        <v>215</v>
      </c>
      <c r="F95" s="1">
        <v>0</v>
      </c>
      <c r="G95" s="1" t="s">
        <v>227</v>
      </c>
      <c r="H95" s="1" t="s">
        <v>280</v>
      </c>
      <c r="I95" s="1" t="s">
        <v>281</v>
      </c>
      <c r="J95" s="1">
        <v>430</v>
      </c>
      <c r="K95" s="1" t="s">
        <v>24</v>
      </c>
      <c r="L95" s="1" t="s">
        <v>407</v>
      </c>
      <c r="M95" s="1" t="s">
        <v>19</v>
      </c>
      <c r="N95" s="1">
        <f>IF(Regions_master[[#This Row],[Forecaster]]=Regions_master[[#Headers],[Grigor]],1,0)</f>
        <v>0</v>
      </c>
      <c r="O95" s="1">
        <f>IF(Regions_master[[#This Row],[Forecaster]]=Regions_master[[#Headers],[Ingo]],1,0)</f>
        <v>0</v>
      </c>
      <c r="P95" s="1">
        <f>IF(Regions_master[[#This Row],[Forecaster]]=Regions_master[[#Headers],[Danyira]],1,0)</f>
        <v>0</v>
      </c>
      <c r="Q95" s="1">
        <f>IF(Regions_master[[#This Row],[Forecaster]]=Regions_master[[#Headers],[Sebastian]],1,0)</f>
        <v>0</v>
      </c>
      <c r="R95" s="1">
        <f>IF(Regions_master[[#This Row],[Forecaster]]=Regions_master[[#Headers],[Yasu]],1,0)</f>
        <v>0</v>
      </c>
      <c r="S95" s="1">
        <f>IF(Regions_master[[#This Row],[Forecaster]]=Regions_master[[#Headers],[Zhenqian]],1,0)</f>
        <v>0</v>
      </c>
      <c r="T95" s="1">
        <f>IF(Regions_master[[#This Row],[Forecaster]]=Regions_master[[#Headers],[Berna]],1,0)</f>
        <v>0</v>
      </c>
      <c r="U95" s="1">
        <f>IF(Regions_master[[#This Row],[Forecaster]]=Regions_master[[#Headers],[Julian]],1,0)</f>
        <v>1</v>
      </c>
      <c r="V95" s="1">
        <f>IF(Regions_master[[#This Row],[Forecaster]]=Regions_master[[#Headers],[Katarzyna]],1,0)</f>
        <v>0</v>
      </c>
      <c r="W95" s="1">
        <v>1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1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</v>
      </c>
      <c r="BH95" s="1">
        <v>1</v>
      </c>
      <c r="BI95" s="1">
        <v>1</v>
      </c>
      <c r="BJ95" s="1">
        <v>1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1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1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1</v>
      </c>
      <c r="CQ95" s="1">
        <v>0</v>
      </c>
      <c r="CR95" s="1">
        <v>0</v>
      </c>
      <c r="CS95" s="1">
        <v>0</v>
      </c>
      <c r="CT95" s="1">
        <v>0</v>
      </c>
      <c r="CU95" s="1">
        <v>1</v>
      </c>
      <c r="CV95" s="1">
        <v>1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1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1</v>
      </c>
      <c r="DQ95" s="1">
        <v>1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1</v>
      </c>
      <c r="DZ95" s="1">
        <v>0</v>
      </c>
      <c r="EA95" s="1">
        <v>0</v>
      </c>
      <c r="EB95" s="1">
        <v>0</v>
      </c>
      <c r="EC95" s="1">
        <v>1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1</v>
      </c>
      <c r="EK95" s="1">
        <v>1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1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1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1</v>
      </c>
      <c r="FE95" s="1">
        <v>1</v>
      </c>
      <c r="FF95" s="1">
        <v>1</v>
      </c>
      <c r="FG95" s="1">
        <v>1</v>
      </c>
      <c r="FH95" s="1">
        <v>1</v>
      </c>
      <c r="FI95" s="1">
        <v>1</v>
      </c>
      <c r="FJ95" s="1">
        <v>1</v>
      </c>
      <c r="FK95" s="1">
        <v>1</v>
      </c>
      <c r="FL95" s="1">
        <v>1</v>
      </c>
      <c r="FM95" s="1">
        <v>0</v>
      </c>
      <c r="FN95" s="1">
        <v>0</v>
      </c>
      <c r="FO95" s="1">
        <v>0</v>
      </c>
      <c r="FP95" s="1">
        <v>1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1</v>
      </c>
      <c r="FY95" s="1">
        <v>0</v>
      </c>
      <c r="FZ95" s="1">
        <v>0</v>
      </c>
      <c r="GA95" s="1">
        <v>0</v>
      </c>
      <c r="GB95" s="1">
        <v>0</v>
      </c>
      <c r="GC95" s="1">
        <v>1</v>
      </c>
      <c r="GD95" s="1">
        <v>0</v>
      </c>
      <c r="GE95" s="1">
        <v>0</v>
      </c>
      <c r="GF95" s="1">
        <v>0</v>
      </c>
      <c r="GG95" s="1">
        <v>0</v>
      </c>
      <c r="GH95" s="1">
        <v>1</v>
      </c>
      <c r="GI95" s="1">
        <v>0</v>
      </c>
      <c r="GJ95" s="1">
        <v>0</v>
      </c>
      <c r="GK95" s="1">
        <v>0</v>
      </c>
      <c r="GL95" s="1">
        <v>0</v>
      </c>
      <c r="GM95" s="1">
        <v>1</v>
      </c>
      <c r="GN95" s="1">
        <v>1</v>
      </c>
      <c r="GO95" s="1">
        <v>1</v>
      </c>
      <c r="GP95" s="1">
        <v>0</v>
      </c>
      <c r="GQ95" s="1">
        <v>1</v>
      </c>
      <c r="GR95" s="1">
        <v>0</v>
      </c>
      <c r="GS95" s="1">
        <v>1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</row>
    <row r="96" spans="1:214" x14ac:dyDescent="0.2">
      <c r="A96" s="1" t="s">
        <v>472</v>
      </c>
      <c r="B96" s="1" t="s">
        <v>472</v>
      </c>
      <c r="D96" s="1" t="s">
        <v>473</v>
      </c>
      <c r="E96" s="1" t="s">
        <v>215</v>
      </c>
      <c r="F96" s="1">
        <v>0</v>
      </c>
      <c r="G96" s="1" t="s">
        <v>227</v>
      </c>
      <c r="H96" s="1" t="s">
        <v>228</v>
      </c>
      <c r="I96" s="1" t="s">
        <v>229</v>
      </c>
      <c r="J96" s="1">
        <v>434</v>
      </c>
      <c r="K96" s="1" t="s">
        <v>24</v>
      </c>
      <c r="L96" s="1" t="s">
        <v>224</v>
      </c>
      <c r="M96" s="1" t="s">
        <v>17</v>
      </c>
      <c r="N96" s="1">
        <f>IF(Regions_master[[#This Row],[Forecaster]]=Regions_master[[#Headers],[Grigor]],1,0)</f>
        <v>0</v>
      </c>
      <c r="O96" s="1">
        <f>IF(Regions_master[[#This Row],[Forecaster]]=Regions_master[[#Headers],[Ingo]],1,0)</f>
        <v>0</v>
      </c>
      <c r="P96" s="1">
        <f>IF(Regions_master[[#This Row],[Forecaster]]=Regions_master[[#Headers],[Danyira]],1,0)</f>
        <v>0</v>
      </c>
      <c r="Q96" s="1">
        <f>IF(Regions_master[[#This Row],[Forecaster]]=Regions_master[[#Headers],[Sebastian]],1,0)</f>
        <v>0</v>
      </c>
      <c r="R96" s="1">
        <f>IF(Regions_master[[#This Row],[Forecaster]]=Regions_master[[#Headers],[Yasu]],1,0)</f>
        <v>1</v>
      </c>
      <c r="S96" s="1">
        <f>IF(Regions_master[[#This Row],[Forecaster]]=Regions_master[[#Headers],[Zhenqian]],1,0)</f>
        <v>0</v>
      </c>
      <c r="T96" s="1">
        <f>IF(Regions_master[[#This Row],[Forecaster]]=Regions_master[[#Headers],[Berna]],1,0)</f>
        <v>0</v>
      </c>
      <c r="U96" s="1">
        <f>IF(Regions_master[[#This Row],[Forecaster]]=Regions_master[[#Headers],[Julian]],1,0)</f>
        <v>0</v>
      </c>
      <c r="V96" s="1">
        <f>IF(Regions_master[[#This Row],[Forecaster]]=Regions_master[[#Headers],[Katarzyna]],1,0)</f>
        <v>0</v>
      </c>
      <c r="W96" s="1">
        <v>1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1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1</v>
      </c>
      <c r="BD96" s="1">
        <v>0</v>
      </c>
      <c r="BE96" s="1">
        <v>1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1</v>
      </c>
      <c r="BO96" s="1">
        <v>0</v>
      </c>
      <c r="BP96" s="1">
        <v>0</v>
      </c>
      <c r="BQ96" s="1">
        <v>1</v>
      </c>
      <c r="BR96" s="1">
        <v>0</v>
      </c>
      <c r="BS96" s="1">
        <v>0</v>
      </c>
      <c r="BT96" s="1">
        <v>0</v>
      </c>
      <c r="BU96" s="1">
        <v>0</v>
      </c>
      <c r="BV96" s="1">
        <v>1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1</v>
      </c>
      <c r="CV96" s="1">
        <v>1</v>
      </c>
      <c r="CW96" s="1">
        <v>0</v>
      </c>
      <c r="CX96" s="1">
        <v>0</v>
      </c>
      <c r="CY96" s="1">
        <v>0</v>
      </c>
      <c r="CZ96" s="1">
        <v>0</v>
      </c>
      <c r="DA96" s="1">
        <v>1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1</v>
      </c>
      <c r="DQ96" s="1">
        <v>1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1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1</v>
      </c>
      <c r="ER96" s="1">
        <v>0</v>
      </c>
      <c r="ES96" s="1">
        <v>1</v>
      </c>
      <c r="ET96" s="1">
        <v>0</v>
      </c>
      <c r="EU96" s="1">
        <v>0</v>
      </c>
      <c r="EV96" s="1">
        <v>1</v>
      </c>
      <c r="EW96" s="1">
        <v>0</v>
      </c>
      <c r="EX96" s="1">
        <v>1</v>
      </c>
      <c r="EY96" s="1">
        <v>0</v>
      </c>
      <c r="EZ96" s="1">
        <v>0</v>
      </c>
      <c r="FA96" s="1">
        <v>1</v>
      </c>
      <c r="FB96" s="1">
        <v>0</v>
      </c>
      <c r="FC96" s="1">
        <v>0</v>
      </c>
      <c r="FD96" s="1">
        <v>1</v>
      </c>
      <c r="FE96" s="1">
        <v>1</v>
      </c>
      <c r="FF96" s="1">
        <v>1</v>
      </c>
      <c r="FG96" s="1">
        <v>1</v>
      </c>
      <c r="FH96" s="1">
        <v>1</v>
      </c>
      <c r="FI96" s="1">
        <v>1</v>
      </c>
      <c r="FJ96" s="1">
        <v>1</v>
      </c>
      <c r="FK96" s="1">
        <v>1</v>
      </c>
      <c r="FL96" s="1">
        <v>1</v>
      </c>
      <c r="FM96" s="1">
        <v>0</v>
      </c>
      <c r="FN96" s="1">
        <v>0</v>
      </c>
      <c r="FO96" s="1">
        <v>0</v>
      </c>
      <c r="FP96" s="1">
        <v>1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1</v>
      </c>
      <c r="GH96" s="1">
        <v>1</v>
      </c>
      <c r="GI96" s="1">
        <v>0</v>
      </c>
      <c r="GJ96" s="1">
        <v>0</v>
      </c>
      <c r="GK96" s="1">
        <v>1</v>
      </c>
      <c r="GL96" s="1">
        <v>0</v>
      </c>
      <c r="GM96" s="1">
        <v>0</v>
      </c>
      <c r="GN96" s="1">
        <v>1</v>
      </c>
      <c r="GO96" s="1">
        <v>0</v>
      </c>
      <c r="GP96" s="1">
        <v>1</v>
      </c>
      <c r="GQ96" s="1">
        <v>1</v>
      </c>
      <c r="GR96" s="1">
        <v>0</v>
      </c>
      <c r="GS96" s="1">
        <v>0</v>
      </c>
      <c r="GT96" s="1">
        <v>1</v>
      </c>
      <c r="GU96" s="1">
        <v>1</v>
      </c>
      <c r="GV96" s="1">
        <v>1</v>
      </c>
      <c r="GW96" s="1">
        <v>1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1</v>
      </c>
      <c r="HD96" s="1">
        <v>1</v>
      </c>
      <c r="HE96" s="1">
        <v>1</v>
      </c>
      <c r="HF96" s="1">
        <v>0</v>
      </c>
    </row>
    <row r="97" spans="1:214" x14ac:dyDescent="0.2">
      <c r="A97" s="1" t="s">
        <v>474</v>
      </c>
      <c r="B97" s="1" t="s">
        <v>474</v>
      </c>
      <c r="D97" s="1" t="s">
        <v>465</v>
      </c>
      <c r="E97" s="1" t="s">
        <v>215</v>
      </c>
      <c r="F97" s="1">
        <v>0</v>
      </c>
      <c r="G97" s="1" t="s">
        <v>251</v>
      </c>
      <c r="H97" s="1" t="s">
        <v>252</v>
      </c>
      <c r="I97" s="1" t="s">
        <v>253</v>
      </c>
      <c r="J97" s="1">
        <v>440</v>
      </c>
      <c r="K97" s="1" t="s">
        <v>22</v>
      </c>
      <c r="L97" s="1" t="s">
        <v>245</v>
      </c>
      <c r="M97" s="1" t="s">
        <v>13</v>
      </c>
      <c r="N97" s="1">
        <f>IF(Regions_master[[#This Row],[Forecaster]]=Regions_master[[#Headers],[Grigor]],1,0)</f>
        <v>1</v>
      </c>
      <c r="O97" s="1">
        <f>IF(Regions_master[[#This Row],[Forecaster]]=Regions_master[[#Headers],[Ingo]],1,0)</f>
        <v>0</v>
      </c>
      <c r="P97" s="1">
        <f>IF(Regions_master[[#This Row],[Forecaster]]=Regions_master[[#Headers],[Danyira]],1,0)</f>
        <v>0</v>
      </c>
      <c r="Q97" s="1">
        <f>IF(Regions_master[[#This Row],[Forecaster]]=Regions_master[[#Headers],[Sebastian]],1,0)</f>
        <v>0</v>
      </c>
      <c r="R97" s="1">
        <f>IF(Regions_master[[#This Row],[Forecaster]]=Regions_master[[#Headers],[Yasu]],1,0)</f>
        <v>0</v>
      </c>
      <c r="S97" s="1">
        <f>IF(Regions_master[[#This Row],[Forecaster]]=Regions_master[[#Headers],[Zhenqian]],1,0)</f>
        <v>0</v>
      </c>
      <c r="T97" s="1">
        <f>IF(Regions_master[[#This Row],[Forecaster]]=Regions_master[[#Headers],[Berna]],1,0)</f>
        <v>0</v>
      </c>
      <c r="U97" s="1">
        <f>IF(Regions_master[[#This Row],[Forecaster]]=Regions_master[[#Headers],[Julian]],1,0)</f>
        <v>0</v>
      </c>
      <c r="V97" s="1">
        <f>IF(Regions_master[[#This Row],[Forecaster]]=Regions_master[[#Headers],[Katarzyna]],1,0)</f>
        <v>0</v>
      </c>
      <c r="W97" s="1">
        <v>1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1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1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1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1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1</v>
      </c>
      <c r="ED97" s="1">
        <v>0</v>
      </c>
      <c r="EE97" s="1">
        <v>0</v>
      </c>
      <c r="EF97" s="1">
        <v>1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1</v>
      </c>
      <c r="FC97" s="1">
        <v>0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1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</row>
    <row r="98" spans="1:214" x14ac:dyDescent="0.2">
      <c r="A98" s="1" t="s">
        <v>475</v>
      </c>
      <c r="B98" s="1" t="s">
        <v>475</v>
      </c>
      <c r="D98" s="1" t="s">
        <v>476</v>
      </c>
      <c r="E98" s="1" t="s">
        <v>215</v>
      </c>
      <c r="F98" s="1">
        <v>0</v>
      </c>
      <c r="G98" s="1" t="s">
        <v>251</v>
      </c>
      <c r="H98" s="1" t="s">
        <v>252</v>
      </c>
      <c r="I98" s="1" t="s">
        <v>253</v>
      </c>
      <c r="J98" s="1">
        <v>442</v>
      </c>
      <c r="K98" s="1" t="s">
        <v>22</v>
      </c>
      <c r="L98" s="1" t="s">
        <v>254</v>
      </c>
      <c r="M98" s="1" t="s">
        <v>14</v>
      </c>
      <c r="N98" s="1">
        <f>IF(Regions_master[[#This Row],[Forecaster]]=Regions_master[[#Headers],[Grigor]],1,0)</f>
        <v>0</v>
      </c>
      <c r="O98" s="1">
        <f>IF(Regions_master[[#This Row],[Forecaster]]=Regions_master[[#Headers],[Ingo]],1,0)</f>
        <v>1</v>
      </c>
      <c r="P98" s="1">
        <f>IF(Regions_master[[#This Row],[Forecaster]]=Regions_master[[#Headers],[Danyira]],1,0)</f>
        <v>0</v>
      </c>
      <c r="Q98" s="1">
        <f>IF(Regions_master[[#This Row],[Forecaster]]=Regions_master[[#Headers],[Sebastian]],1,0)</f>
        <v>0</v>
      </c>
      <c r="R98" s="1">
        <f>IF(Regions_master[[#This Row],[Forecaster]]=Regions_master[[#Headers],[Yasu]],1,0)</f>
        <v>0</v>
      </c>
      <c r="S98" s="1">
        <f>IF(Regions_master[[#This Row],[Forecaster]]=Regions_master[[#Headers],[Zhenqian]],1,0)</f>
        <v>0</v>
      </c>
      <c r="T98" s="1">
        <f>IF(Regions_master[[#This Row],[Forecaster]]=Regions_master[[#Headers],[Berna]],1,0)</f>
        <v>0</v>
      </c>
      <c r="U98" s="1">
        <f>IF(Regions_master[[#This Row],[Forecaster]]=Regions_master[[#Headers],[Julian]],1,0)</f>
        <v>0</v>
      </c>
      <c r="V98" s="1">
        <f>IF(Regions_master[[#This Row],[Forecaster]]=Regions_master[[#Headers],[Katarzyna]],1,0)</f>
        <v>0</v>
      </c>
      <c r="W98" s="1">
        <v>1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0</v>
      </c>
      <c r="AI98" s="1">
        <v>0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1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1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1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1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1</v>
      </c>
      <c r="ED98" s="1">
        <v>0</v>
      </c>
      <c r="EE98" s="1">
        <v>0</v>
      </c>
      <c r="EF98" s="1">
        <v>1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1</v>
      </c>
      <c r="FC98" s="1">
        <v>0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1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</row>
    <row r="99" spans="1:214" x14ac:dyDescent="0.2">
      <c r="A99" s="1" t="s">
        <v>477</v>
      </c>
      <c r="B99" s="1" t="s">
        <v>477</v>
      </c>
      <c r="D99" s="1" t="s">
        <v>478</v>
      </c>
      <c r="E99" s="1" t="s">
        <v>215</v>
      </c>
      <c r="F99" s="1">
        <v>0</v>
      </c>
      <c r="G99" s="1" t="s">
        <v>227</v>
      </c>
      <c r="H99" s="1" t="s">
        <v>308</v>
      </c>
      <c r="I99" s="1" t="s">
        <v>309</v>
      </c>
      <c r="J99" s="1">
        <v>450</v>
      </c>
      <c r="K99" s="1" t="s">
        <v>24</v>
      </c>
      <c r="L99" s="1" t="s">
        <v>336</v>
      </c>
      <c r="M99" s="1" t="s">
        <v>20</v>
      </c>
      <c r="N99" s="1">
        <f>IF(Regions_master[[#This Row],[Forecaster]]=Regions_master[[#Headers],[Grigor]],1,0)</f>
        <v>0</v>
      </c>
      <c r="O99" s="1">
        <f>IF(Regions_master[[#This Row],[Forecaster]]=Regions_master[[#Headers],[Ingo]],1,0)</f>
        <v>0</v>
      </c>
      <c r="P99" s="1">
        <f>IF(Regions_master[[#This Row],[Forecaster]]=Regions_master[[#Headers],[Danyira]],1,0)</f>
        <v>0</v>
      </c>
      <c r="Q99" s="1">
        <f>IF(Regions_master[[#This Row],[Forecaster]]=Regions_master[[#Headers],[Sebastian]],1,0)</f>
        <v>0</v>
      </c>
      <c r="R99" s="1">
        <f>IF(Regions_master[[#This Row],[Forecaster]]=Regions_master[[#Headers],[Yasu]],1,0)</f>
        <v>0</v>
      </c>
      <c r="S99" s="1">
        <f>IF(Regions_master[[#This Row],[Forecaster]]=Regions_master[[#Headers],[Zhenqian]],1,0)</f>
        <v>0</v>
      </c>
      <c r="T99" s="1">
        <f>IF(Regions_master[[#This Row],[Forecaster]]=Regions_master[[#Headers],[Berna]],1,0)</f>
        <v>0</v>
      </c>
      <c r="U99" s="1">
        <f>IF(Regions_master[[#This Row],[Forecaster]]=Regions_master[[#Headers],[Julian]],1,0)</f>
        <v>0</v>
      </c>
      <c r="V99" s="1">
        <f>IF(Regions_master[[#This Row],[Forecaster]]=Regions_master[[#Headers],[Katarzyna]],1,0)</f>
        <v>1</v>
      </c>
      <c r="W99" s="1">
        <v>1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</v>
      </c>
      <c r="BH99" s="1">
        <v>1</v>
      </c>
      <c r="BI99" s="1">
        <v>1</v>
      </c>
      <c r="BJ99" s="1">
        <v>1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1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1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1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1</v>
      </c>
      <c r="CV99" s="1">
        <v>1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1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1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1</v>
      </c>
      <c r="DQ99" s="1">
        <v>1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</v>
      </c>
      <c r="DY99" s="1">
        <v>0</v>
      </c>
      <c r="DZ99" s="1">
        <v>0</v>
      </c>
      <c r="EA99" s="1">
        <v>0</v>
      </c>
      <c r="EB99" s="1">
        <v>0</v>
      </c>
      <c r="EC99" s="1">
        <v>1</v>
      </c>
      <c r="ED99" s="1">
        <v>0</v>
      </c>
      <c r="EE99" s="1">
        <v>1</v>
      </c>
      <c r="EF99" s="1">
        <v>0</v>
      </c>
      <c r="EG99" s="1">
        <v>0</v>
      </c>
      <c r="EH99" s="1">
        <v>0</v>
      </c>
      <c r="EI99" s="1">
        <v>0</v>
      </c>
      <c r="EJ99" s="1">
        <v>1</v>
      </c>
      <c r="EK99" s="1">
        <v>1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1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1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1</v>
      </c>
      <c r="FE99" s="1">
        <v>1</v>
      </c>
      <c r="FF99" s="1">
        <v>1</v>
      </c>
      <c r="FG99" s="1">
        <v>1</v>
      </c>
      <c r="FH99" s="1">
        <v>1</v>
      </c>
      <c r="FI99" s="1">
        <v>1</v>
      </c>
      <c r="FJ99" s="1">
        <v>1</v>
      </c>
      <c r="FK99" s="1">
        <v>1</v>
      </c>
      <c r="FL99" s="1">
        <v>1</v>
      </c>
      <c r="FM99" s="1">
        <v>0</v>
      </c>
      <c r="FN99" s="1">
        <v>0</v>
      </c>
      <c r="FO99" s="1">
        <v>0</v>
      </c>
      <c r="FP99" s="1">
        <v>1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1</v>
      </c>
      <c r="FY99" s="1">
        <v>0</v>
      </c>
      <c r="FZ99" s="1">
        <v>0</v>
      </c>
      <c r="GA99" s="1">
        <v>0</v>
      </c>
      <c r="GB99" s="1">
        <v>0</v>
      </c>
      <c r="GC99" s="1">
        <v>1</v>
      </c>
      <c r="GD99" s="1">
        <v>0</v>
      </c>
      <c r="GE99" s="1">
        <v>0</v>
      </c>
      <c r="GF99" s="1">
        <v>0</v>
      </c>
      <c r="GG99" s="1">
        <v>0</v>
      </c>
      <c r="GH99" s="1">
        <v>1</v>
      </c>
      <c r="GI99" s="1">
        <v>0</v>
      </c>
      <c r="GJ99" s="1">
        <v>0</v>
      </c>
      <c r="GK99" s="1">
        <v>0</v>
      </c>
      <c r="GL99" s="1">
        <v>0</v>
      </c>
      <c r="GM99" s="1">
        <v>1</v>
      </c>
      <c r="GN99" s="1">
        <v>1</v>
      </c>
      <c r="GO99" s="1">
        <v>1</v>
      </c>
      <c r="GP99" s="1">
        <v>0</v>
      </c>
      <c r="GQ99" s="1">
        <v>1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</row>
    <row r="100" spans="1:214" x14ac:dyDescent="0.2">
      <c r="A100" s="1" t="s">
        <v>479</v>
      </c>
      <c r="B100" s="1" t="s">
        <v>479</v>
      </c>
      <c r="D100" s="1" t="s">
        <v>480</v>
      </c>
      <c r="E100" s="1" t="s">
        <v>215</v>
      </c>
      <c r="F100" s="1">
        <v>0</v>
      </c>
      <c r="G100" s="1" t="s">
        <v>227</v>
      </c>
      <c r="H100" s="1" t="s">
        <v>233</v>
      </c>
      <c r="I100" s="1" t="s">
        <v>234</v>
      </c>
      <c r="J100" s="1">
        <v>454</v>
      </c>
      <c r="K100" s="1" t="s">
        <v>24</v>
      </c>
      <c r="L100" s="1" t="s">
        <v>481</v>
      </c>
      <c r="M100" s="1" t="s">
        <v>20</v>
      </c>
      <c r="N100" s="1">
        <f>IF(Regions_master[[#This Row],[Forecaster]]=Regions_master[[#Headers],[Grigor]],1,0)</f>
        <v>0</v>
      </c>
      <c r="O100" s="1">
        <f>IF(Regions_master[[#This Row],[Forecaster]]=Regions_master[[#Headers],[Ingo]],1,0)</f>
        <v>0</v>
      </c>
      <c r="P100" s="1">
        <f>IF(Regions_master[[#This Row],[Forecaster]]=Regions_master[[#Headers],[Danyira]],1,0)</f>
        <v>0</v>
      </c>
      <c r="Q100" s="1">
        <f>IF(Regions_master[[#This Row],[Forecaster]]=Regions_master[[#Headers],[Sebastian]],1,0)</f>
        <v>0</v>
      </c>
      <c r="R100" s="1">
        <f>IF(Regions_master[[#This Row],[Forecaster]]=Regions_master[[#Headers],[Yasu]],1,0)</f>
        <v>0</v>
      </c>
      <c r="S100" s="1">
        <f>IF(Regions_master[[#This Row],[Forecaster]]=Regions_master[[#Headers],[Zhenqian]],1,0)</f>
        <v>0</v>
      </c>
      <c r="T100" s="1">
        <f>IF(Regions_master[[#This Row],[Forecaster]]=Regions_master[[#Headers],[Berna]],1,0)</f>
        <v>0</v>
      </c>
      <c r="U100" s="1">
        <f>IF(Regions_master[[#This Row],[Forecaster]]=Regions_master[[#Headers],[Julian]],1,0)</f>
        <v>0</v>
      </c>
      <c r="V100" s="1">
        <f>IF(Regions_master[[#This Row],[Forecaster]]=Regions_master[[#Headers],[Katarzyna]],1,0)</f>
        <v>1</v>
      </c>
      <c r="W100" s="1">
        <v>1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</v>
      </c>
      <c r="AO100" s="1">
        <v>0</v>
      </c>
      <c r="AP100" s="1">
        <v>0</v>
      </c>
      <c r="AQ100" s="1">
        <v>0</v>
      </c>
      <c r="AR100" s="1">
        <v>1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1</v>
      </c>
      <c r="BH100" s="1">
        <v>1</v>
      </c>
      <c r="BI100" s="1">
        <v>1</v>
      </c>
      <c r="BJ100" s="1">
        <v>1</v>
      </c>
      <c r="BK100" s="1">
        <v>0</v>
      </c>
      <c r="BL100" s="1">
        <v>0</v>
      </c>
      <c r="BM100" s="1">
        <v>1</v>
      </c>
      <c r="BN100" s="1">
        <v>0</v>
      </c>
      <c r="BO100" s="1">
        <v>0</v>
      </c>
      <c r="BP100" s="1">
        <v>0</v>
      </c>
      <c r="BQ100" s="1">
        <v>1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1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1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1</v>
      </c>
      <c r="CV100" s="1">
        <v>1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1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1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1</v>
      </c>
      <c r="DQ100" s="1">
        <v>1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1</v>
      </c>
      <c r="DY100" s="1">
        <v>0</v>
      </c>
      <c r="DZ100" s="1">
        <v>0</v>
      </c>
      <c r="EA100" s="1">
        <v>0</v>
      </c>
      <c r="EB100" s="1">
        <v>0</v>
      </c>
      <c r="EC100" s="1">
        <v>1</v>
      </c>
      <c r="ED100" s="1">
        <v>0</v>
      </c>
      <c r="EE100" s="1">
        <v>0</v>
      </c>
      <c r="EF100" s="1">
        <v>0</v>
      </c>
      <c r="EG100" s="1">
        <v>1</v>
      </c>
      <c r="EH100" s="1">
        <v>0</v>
      </c>
      <c r="EI100" s="1">
        <v>0</v>
      </c>
      <c r="EJ100" s="1">
        <v>1</v>
      </c>
      <c r="EK100" s="1">
        <v>1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1</v>
      </c>
      <c r="ER100" s="1">
        <v>0</v>
      </c>
      <c r="ES100" s="1">
        <v>0</v>
      </c>
      <c r="ET100" s="1">
        <v>0</v>
      </c>
      <c r="EU100" s="1">
        <v>1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1</v>
      </c>
      <c r="FE100" s="1">
        <v>1</v>
      </c>
      <c r="FF100" s="1">
        <v>1</v>
      </c>
      <c r="FG100" s="1">
        <v>1</v>
      </c>
      <c r="FH100" s="1">
        <v>1</v>
      </c>
      <c r="FI100" s="1">
        <v>1</v>
      </c>
      <c r="FJ100" s="1">
        <v>1</v>
      </c>
      <c r="FK100" s="1">
        <v>1</v>
      </c>
      <c r="FL100" s="1">
        <v>1</v>
      </c>
      <c r="FM100" s="1">
        <v>0</v>
      </c>
      <c r="FN100" s="1">
        <v>0</v>
      </c>
      <c r="FO100" s="1">
        <v>0</v>
      </c>
      <c r="FP100" s="1">
        <v>1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1</v>
      </c>
      <c r="FY100" s="1">
        <v>0</v>
      </c>
      <c r="FZ100" s="1">
        <v>0</v>
      </c>
      <c r="GA100" s="1">
        <v>0</v>
      </c>
      <c r="GB100" s="1">
        <v>0</v>
      </c>
      <c r="GC100" s="1">
        <v>1</v>
      </c>
      <c r="GD100" s="1">
        <v>0</v>
      </c>
      <c r="GE100" s="1">
        <v>0</v>
      </c>
      <c r="GF100" s="1">
        <v>0</v>
      </c>
      <c r="GG100" s="1">
        <v>0</v>
      </c>
      <c r="GH100" s="1">
        <v>1</v>
      </c>
      <c r="GI100" s="1">
        <v>1</v>
      </c>
      <c r="GJ100" s="1">
        <v>0</v>
      </c>
      <c r="GK100" s="1">
        <v>0</v>
      </c>
      <c r="GL100" s="1">
        <v>0</v>
      </c>
      <c r="GM100" s="1">
        <v>1</v>
      </c>
      <c r="GN100" s="1">
        <v>1</v>
      </c>
      <c r="GO100" s="1">
        <v>1</v>
      </c>
      <c r="GP100" s="1">
        <v>0</v>
      </c>
      <c r="GQ100" s="1">
        <v>1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</row>
    <row r="101" spans="1:214" x14ac:dyDescent="0.2">
      <c r="A101" s="1" t="s">
        <v>482</v>
      </c>
      <c r="B101" s="1" t="s">
        <v>482</v>
      </c>
      <c r="D101" s="1" t="s">
        <v>483</v>
      </c>
      <c r="E101" s="1" t="s">
        <v>215</v>
      </c>
      <c r="F101" s="1">
        <v>0</v>
      </c>
      <c r="G101" s="1" t="s">
        <v>216</v>
      </c>
      <c r="H101" s="1" t="s">
        <v>296</v>
      </c>
      <c r="I101" s="1" t="s">
        <v>297</v>
      </c>
      <c r="J101" s="1">
        <v>458</v>
      </c>
      <c r="K101" s="1" t="s">
        <v>24</v>
      </c>
      <c r="L101" s="1" t="s">
        <v>484</v>
      </c>
      <c r="M101" s="1" t="s">
        <v>299</v>
      </c>
      <c r="N101" s="1">
        <f>IF(Regions_master[[#This Row],[Forecaster]]=Regions_master[[#Headers],[Grigor]],1,0)</f>
        <v>0</v>
      </c>
      <c r="O101" s="1">
        <f>IF(Regions_master[[#This Row],[Forecaster]]=Regions_master[[#Headers],[Ingo]],1,0)</f>
        <v>0</v>
      </c>
      <c r="P101" s="1">
        <f>IF(Regions_master[[#This Row],[Forecaster]]=Regions_master[[#Headers],[Danyira]],1,0)</f>
        <v>0</v>
      </c>
      <c r="Q101" s="1">
        <f>IF(Regions_master[[#This Row],[Forecaster]]=Regions_master[[#Headers],[Sebastian]],1,0)</f>
        <v>0</v>
      </c>
      <c r="R101" s="1">
        <f>IF(Regions_master[[#This Row],[Forecaster]]=Regions_master[[#Headers],[Yasu]],1,0)</f>
        <v>0</v>
      </c>
      <c r="S101" s="1">
        <f>IF(Regions_master[[#This Row],[Forecaster]]=Regions_master[[#Headers],[Zhenqian]],1,0)</f>
        <v>1</v>
      </c>
      <c r="T101" s="1">
        <f>IF(Regions_master[[#This Row],[Forecaster]]=Regions_master[[#Headers],[Berna]],1,0)</f>
        <v>0</v>
      </c>
      <c r="U101" s="1">
        <f>IF(Regions_master[[#This Row],[Forecaster]]=Regions_master[[#Headers],[Julian]],1,0)</f>
        <v>0</v>
      </c>
      <c r="V101" s="1">
        <f>IF(Regions_master[[#This Row],[Forecaster]]=Regions_master[[#Headers],[Katarzyna]],1,0)</f>
        <v>0</v>
      </c>
      <c r="W101" s="1">
        <v>1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</v>
      </c>
      <c r="AU101" s="1">
        <v>1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1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1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1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1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1</v>
      </c>
      <c r="DD101" s="1">
        <v>0</v>
      </c>
      <c r="DE101" s="1">
        <v>1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1</v>
      </c>
      <c r="DM101" s="1">
        <v>0</v>
      </c>
      <c r="DN101" s="1">
        <v>0</v>
      </c>
      <c r="DO101" s="1">
        <v>0</v>
      </c>
      <c r="DP101" s="1">
        <v>1</v>
      </c>
      <c r="DQ101" s="1">
        <v>1</v>
      </c>
      <c r="DR101" s="1">
        <v>0</v>
      </c>
      <c r="DS101" s="1">
        <v>0</v>
      </c>
      <c r="DT101" s="1">
        <v>0</v>
      </c>
      <c r="DU101" s="1">
        <v>1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1</v>
      </c>
      <c r="EE101" s="1">
        <v>0</v>
      </c>
      <c r="EF101" s="1">
        <v>1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1</v>
      </c>
      <c r="EO101" s="1">
        <v>0</v>
      </c>
      <c r="EP101" s="1">
        <v>0</v>
      </c>
      <c r="EQ101" s="1">
        <v>0</v>
      </c>
      <c r="ER101" s="1">
        <v>0</v>
      </c>
      <c r="ES101" s="1">
        <v>1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1</v>
      </c>
      <c r="FB101" s="1">
        <v>1</v>
      </c>
      <c r="FC101" s="1">
        <v>0</v>
      </c>
      <c r="FD101" s="1">
        <v>1</v>
      </c>
      <c r="FE101" s="1">
        <v>1</v>
      </c>
      <c r="FF101" s="1">
        <v>1</v>
      </c>
      <c r="FG101" s="1">
        <v>1</v>
      </c>
      <c r="FH101" s="1">
        <v>1</v>
      </c>
      <c r="FI101" s="1">
        <v>1</v>
      </c>
      <c r="FJ101" s="1">
        <v>1</v>
      </c>
      <c r="FK101" s="1">
        <v>1</v>
      </c>
      <c r="FL101" s="1">
        <v>1</v>
      </c>
      <c r="FM101" s="1">
        <v>0</v>
      </c>
      <c r="FN101" s="1">
        <v>0</v>
      </c>
      <c r="FO101" s="1">
        <v>0</v>
      </c>
      <c r="FP101" s="1">
        <v>0</v>
      </c>
      <c r="FQ101" s="1">
        <v>1</v>
      </c>
      <c r="FR101" s="1">
        <v>0</v>
      </c>
      <c r="FS101" s="1">
        <v>1</v>
      </c>
      <c r="FT101" s="1">
        <v>1</v>
      </c>
      <c r="FU101" s="1">
        <v>0</v>
      </c>
      <c r="FV101" s="1">
        <v>0</v>
      </c>
      <c r="FW101" s="1">
        <v>0</v>
      </c>
      <c r="FX101" s="1">
        <v>0</v>
      </c>
      <c r="FY101" s="1">
        <v>1</v>
      </c>
      <c r="FZ101" s="1">
        <v>0</v>
      </c>
      <c r="GA101" s="1">
        <v>0</v>
      </c>
      <c r="GB101" s="1">
        <v>0</v>
      </c>
      <c r="GC101" s="1">
        <v>0</v>
      </c>
      <c r="GD101" s="1">
        <v>1</v>
      </c>
      <c r="GE101" s="1">
        <v>0</v>
      </c>
      <c r="GF101" s="1">
        <v>0</v>
      </c>
      <c r="GG101" s="1">
        <v>1</v>
      </c>
      <c r="GH101" s="1">
        <v>0</v>
      </c>
      <c r="GI101" s="1">
        <v>0</v>
      </c>
      <c r="GJ101" s="1">
        <v>1</v>
      </c>
      <c r="GK101" s="1">
        <v>0</v>
      </c>
      <c r="GL101" s="1">
        <v>0</v>
      </c>
      <c r="GM101" s="1">
        <v>0</v>
      </c>
      <c r="GN101" s="1">
        <v>1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1</v>
      </c>
      <c r="GU101" s="1">
        <v>1</v>
      </c>
      <c r="GV101" s="1">
        <v>1</v>
      </c>
      <c r="GW101" s="1">
        <v>1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1</v>
      </c>
      <c r="HD101" s="1">
        <v>1</v>
      </c>
      <c r="HE101" s="1">
        <v>1</v>
      </c>
      <c r="HF101" s="1">
        <v>0</v>
      </c>
    </row>
    <row r="102" spans="1:214" x14ac:dyDescent="0.2">
      <c r="A102" s="1" t="s">
        <v>485</v>
      </c>
      <c r="B102" s="1" t="s">
        <v>485</v>
      </c>
      <c r="D102" s="1" t="s">
        <v>486</v>
      </c>
      <c r="E102" s="1" t="s">
        <v>215</v>
      </c>
      <c r="F102" s="1">
        <v>0</v>
      </c>
      <c r="G102" s="1" t="s">
        <v>216</v>
      </c>
      <c r="H102" s="1" t="s">
        <v>217</v>
      </c>
      <c r="I102" s="1" t="s">
        <v>218</v>
      </c>
      <c r="J102" s="1">
        <v>462</v>
      </c>
      <c r="K102" s="1" t="s">
        <v>24</v>
      </c>
      <c r="L102" s="1" t="s">
        <v>462</v>
      </c>
      <c r="M102" s="1" t="s">
        <v>15</v>
      </c>
      <c r="N102" s="1">
        <f>IF(Regions_master[[#This Row],[Forecaster]]=Regions_master[[#Headers],[Grigor]],1,0)</f>
        <v>0</v>
      </c>
      <c r="O102" s="1">
        <f>IF(Regions_master[[#This Row],[Forecaster]]=Regions_master[[#Headers],[Ingo]],1,0)</f>
        <v>0</v>
      </c>
      <c r="P102" s="1">
        <f>IF(Regions_master[[#This Row],[Forecaster]]=Regions_master[[#Headers],[Danyira]],1,0)</f>
        <v>1</v>
      </c>
      <c r="Q102" s="1">
        <f>IF(Regions_master[[#This Row],[Forecaster]]=Regions_master[[#Headers],[Sebastian]],1,0)</f>
        <v>0</v>
      </c>
      <c r="R102" s="1">
        <f>IF(Regions_master[[#This Row],[Forecaster]]=Regions_master[[#Headers],[Yasu]],1,0)</f>
        <v>0</v>
      </c>
      <c r="S102" s="1">
        <f>IF(Regions_master[[#This Row],[Forecaster]]=Regions_master[[#Headers],[Zhenqian]],1,0)</f>
        <v>0</v>
      </c>
      <c r="T102" s="1">
        <f>IF(Regions_master[[#This Row],[Forecaster]]=Regions_master[[#Headers],[Berna]],1,0)</f>
        <v>0</v>
      </c>
      <c r="U102" s="1">
        <f>IF(Regions_master[[#This Row],[Forecaster]]=Regions_master[[#Headers],[Julian]],1,0)</f>
        <v>0</v>
      </c>
      <c r="V102" s="1">
        <f>IF(Regions_master[[#This Row],[Forecaster]]=Regions_master[[#Headers],[Katarzyna]],1,0)</f>
        <v>0</v>
      </c>
      <c r="W102" s="1">
        <v>1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1</v>
      </c>
      <c r="AU102" s="1">
        <v>0</v>
      </c>
      <c r="AV102" s="1">
        <v>1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1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1</v>
      </c>
      <c r="CV102" s="1">
        <v>1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1</v>
      </c>
      <c r="DD102" s="1">
        <v>0</v>
      </c>
      <c r="DE102" s="1">
        <v>1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1</v>
      </c>
      <c r="DN102" s="1">
        <v>0</v>
      </c>
      <c r="DO102" s="1">
        <v>0</v>
      </c>
      <c r="DP102" s="1">
        <v>1</v>
      </c>
      <c r="DQ102" s="1">
        <v>1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1</v>
      </c>
      <c r="EC102" s="1">
        <v>0</v>
      </c>
      <c r="ED102" s="1">
        <v>1</v>
      </c>
      <c r="EE102" s="1">
        <v>1</v>
      </c>
      <c r="EF102" s="1">
        <v>0</v>
      </c>
      <c r="EG102" s="1">
        <v>1</v>
      </c>
      <c r="EH102" s="1">
        <v>0</v>
      </c>
      <c r="EI102" s="1">
        <v>1</v>
      </c>
      <c r="EJ102" s="1">
        <v>0</v>
      </c>
      <c r="EK102" s="1">
        <v>0</v>
      </c>
      <c r="EL102" s="1">
        <v>0</v>
      </c>
      <c r="EM102" s="1">
        <v>1</v>
      </c>
      <c r="EN102" s="1">
        <v>1</v>
      </c>
      <c r="EO102" s="1">
        <v>0</v>
      </c>
      <c r="EP102" s="1">
        <v>0</v>
      </c>
      <c r="EQ102" s="1">
        <v>0</v>
      </c>
      <c r="ER102" s="1">
        <v>0</v>
      </c>
      <c r="ES102" s="1">
        <v>1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1</v>
      </c>
      <c r="FB102" s="1">
        <v>0</v>
      </c>
      <c r="FC102" s="1">
        <v>0</v>
      </c>
      <c r="FD102" s="1">
        <v>1</v>
      </c>
      <c r="FE102" s="1">
        <v>1</v>
      </c>
      <c r="FF102" s="1">
        <v>1</v>
      </c>
      <c r="FG102" s="1">
        <v>1</v>
      </c>
      <c r="FH102" s="1">
        <v>1</v>
      </c>
      <c r="FI102" s="1">
        <v>1</v>
      </c>
      <c r="FJ102" s="1">
        <v>1</v>
      </c>
      <c r="FK102" s="1">
        <v>1</v>
      </c>
      <c r="FL102" s="1">
        <v>1</v>
      </c>
      <c r="FM102" s="1">
        <v>0</v>
      </c>
      <c r="FN102" s="1">
        <v>0</v>
      </c>
      <c r="FO102" s="1">
        <v>0</v>
      </c>
      <c r="FP102" s="1">
        <v>0</v>
      </c>
      <c r="FQ102" s="1">
        <v>1</v>
      </c>
      <c r="FR102" s="1">
        <v>1</v>
      </c>
      <c r="FS102" s="1">
        <v>1</v>
      </c>
      <c r="FT102" s="1">
        <v>1</v>
      </c>
      <c r="FU102" s="1">
        <v>0</v>
      </c>
      <c r="FV102" s="1">
        <v>0</v>
      </c>
      <c r="FW102" s="1">
        <v>0</v>
      </c>
      <c r="FX102" s="1">
        <v>0</v>
      </c>
      <c r="FY102" s="1">
        <v>1</v>
      </c>
      <c r="FZ102" s="1">
        <v>0</v>
      </c>
      <c r="GA102" s="1">
        <v>0</v>
      </c>
      <c r="GB102" s="1">
        <v>0</v>
      </c>
      <c r="GC102" s="1">
        <v>0</v>
      </c>
      <c r="GD102" s="1">
        <v>1</v>
      </c>
      <c r="GE102" s="1">
        <v>1</v>
      </c>
      <c r="GF102" s="1">
        <v>0</v>
      </c>
      <c r="GG102" s="1">
        <v>1</v>
      </c>
      <c r="GH102" s="1">
        <v>1</v>
      </c>
      <c r="GI102" s="1">
        <v>1</v>
      </c>
      <c r="GJ102" s="1">
        <v>0</v>
      </c>
      <c r="GK102" s="1">
        <v>0</v>
      </c>
      <c r="GL102" s="1">
        <v>0</v>
      </c>
      <c r="GM102" s="1">
        <v>0</v>
      </c>
      <c r="GN102" s="1">
        <v>1</v>
      </c>
      <c r="GO102" s="1">
        <v>0</v>
      </c>
      <c r="GP102" s="1">
        <v>0</v>
      </c>
      <c r="GQ102" s="1">
        <v>0</v>
      </c>
      <c r="GR102" s="1">
        <v>1</v>
      </c>
      <c r="GS102" s="1">
        <v>0</v>
      </c>
      <c r="GT102" s="1">
        <v>1</v>
      </c>
      <c r="GU102" s="1">
        <v>1</v>
      </c>
      <c r="GV102" s="1">
        <v>1</v>
      </c>
      <c r="GW102" s="1">
        <v>1</v>
      </c>
      <c r="GX102" s="1">
        <v>0</v>
      </c>
      <c r="GY102" s="1">
        <v>1</v>
      </c>
      <c r="GZ102" s="1">
        <v>1</v>
      </c>
      <c r="HA102" s="1">
        <v>0</v>
      </c>
      <c r="HB102" s="1">
        <v>0</v>
      </c>
      <c r="HC102" s="1">
        <v>1</v>
      </c>
      <c r="HD102" s="1">
        <v>1</v>
      </c>
      <c r="HE102" s="1">
        <v>1</v>
      </c>
      <c r="HF102" s="1">
        <v>0</v>
      </c>
    </row>
    <row r="103" spans="1:214" x14ac:dyDescent="0.2">
      <c r="A103" s="1" t="s">
        <v>487</v>
      </c>
      <c r="B103" s="1" t="s">
        <v>487</v>
      </c>
      <c r="D103" s="1" t="s">
        <v>488</v>
      </c>
      <c r="E103" s="1" t="s">
        <v>215</v>
      </c>
      <c r="F103" s="1">
        <v>0</v>
      </c>
      <c r="G103" s="1" t="s">
        <v>227</v>
      </c>
      <c r="H103" s="1" t="s">
        <v>280</v>
      </c>
      <c r="I103" s="1" t="s">
        <v>281</v>
      </c>
      <c r="J103" s="1">
        <v>466</v>
      </c>
      <c r="K103" s="1" t="s">
        <v>24</v>
      </c>
      <c r="L103" s="1" t="s">
        <v>389</v>
      </c>
      <c r="M103" s="1" t="s">
        <v>19</v>
      </c>
      <c r="N103" s="1">
        <f>IF(Regions_master[[#This Row],[Forecaster]]=Regions_master[[#Headers],[Grigor]],1,0)</f>
        <v>0</v>
      </c>
      <c r="O103" s="1">
        <f>IF(Regions_master[[#This Row],[Forecaster]]=Regions_master[[#Headers],[Ingo]],1,0)</f>
        <v>0</v>
      </c>
      <c r="P103" s="1">
        <f>IF(Regions_master[[#This Row],[Forecaster]]=Regions_master[[#Headers],[Danyira]],1,0)</f>
        <v>0</v>
      </c>
      <c r="Q103" s="1">
        <f>IF(Regions_master[[#This Row],[Forecaster]]=Regions_master[[#Headers],[Sebastian]],1,0)</f>
        <v>0</v>
      </c>
      <c r="R103" s="1">
        <f>IF(Regions_master[[#This Row],[Forecaster]]=Regions_master[[#Headers],[Yasu]],1,0)</f>
        <v>0</v>
      </c>
      <c r="S103" s="1">
        <f>IF(Regions_master[[#This Row],[Forecaster]]=Regions_master[[#Headers],[Zhenqian]],1,0)</f>
        <v>0</v>
      </c>
      <c r="T103" s="1">
        <f>IF(Regions_master[[#This Row],[Forecaster]]=Regions_master[[#Headers],[Berna]],1,0)</f>
        <v>0</v>
      </c>
      <c r="U103" s="1">
        <f>IF(Regions_master[[#This Row],[Forecaster]]=Regions_master[[#Headers],[Julian]],1,0)</f>
        <v>1</v>
      </c>
      <c r="V103" s="1">
        <f>IF(Regions_master[[#This Row],[Forecaster]]=Regions_master[[#Headers],[Katarzyna]],1,0)</f>
        <v>0</v>
      </c>
      <c r="W103" s="1">
        <v>1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</v>
      </c>
      <c r="BH103" s="1">
        <v>1</v>
      </c>
      <c r="BI103" s="1">
        <v>1</v>
      </c>
      <c r="BJ103" s="1">
        <v>1</v>
      </c>
      <c r="BK103" s="1">
        <v>0</v>
      </c>
      <c r="BL103" s="1">
        <v>0</v>
      </c>
      <c r="BM103" s="1">
        <v>1</v>
      </c>
      <c r="BN103" s="1">
        <v>0</v>
      </c>
      <c r="BO103" s="1">
        <v>0</v>
      </c>
      <c r="BP103" s="1">
        <v>0</v>
      </c>
      <c r="BQ103" s="1">
        <v>1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1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1</v>
      </c>
      <c r="CQ103" s="1">
        <v>0</v>
      </c>
      <c r="CR103" s="1">
        <v>0</v>
      </c>
      <c r="CS103" s="1">
        <v>0</v>
      </c>
      <c r="CT103" s="1">
        <v>0</v>
      </c>
      <c r="CU103" s="1">
        <v>1</v>
      </c>
      <c r="CV103" s="1">
        <v>1</v>
      </c>
      <c r="CW103" s="1">
        <v>1</v>
      </c>
      <c r="CX103" s="1">
        <v>0</v>
      </c>
      <c r="CY103" s="1">
        <v>0</v>
      </c>
      <c r="CZ103" s="1">
        <v>0</v>
      </c>
      <c r="DA103" s="1">
        <v>0</v>
      </c>
      <c r="DB103" s="1">
        <v>1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1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1</v>
      </c>
      <c r="DQ103" s="1">
        <v>1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1</v>
      </c>
      <c r="DZ103" s="1">
        <v>0</v>
      </c>
      <c r="EA103" s="1">
        <v>0</v>
      </c>
      <c r="EB103" s="1">
        <v>0</v>
      </c>
      <c r="EC103" s="1">
        <v>1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1</v>
      </c>
      <c r="EK103" s="1">
        <v>1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1</v>
      </c>
      <c r="ER103" s="1">
        <v>0</v>
      </c>
      <c r="ES103" s="1">
        <v>0</v>
      </c>
      <c r="ET103" s="1">
        <v>0</v>
      </c>
      <c r="EU103" s="1">
        <v>1</v>
      </c>
      <c r="EV103" s="1">
        <v>0</v>
      </c>
      <c r="EW103" s="1">
        <v>0</v>
      </c>
      <c r="EX103" s="1">
        <v>1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1</v>
      </c>
      <c r="FE103" s="1">
        <v>1</v>
      </c>
      <c r="FF103" s="1">
        <v>1</v>
      </c>
      <c r="FG103" s="1">
        <v>1</v>
      </c>
      <c r="FH103" s="1">
        <v>1</v>
      </c>
      <c r="FI103" s="1">
        <v>1</v>
      </c>
      <c r="FJ103" s="1">
        <v>1</v>
      </c>
      <c r="FK103" s="1">
        <v>1</v>
      </c>
      <c r="FL103" s="1">
        <v>1</v>
      </c>
      <c r="FM103" s="1">
        <v>0</v>
      </c>
      <c r="FN103" s="1">
        <v>0</v>
      </c>
      <c r="FO103" s="1">
        <v>0</v>
      </c>
      <c r="FP103" s="1">
        <v>1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1</v>
      </c>
      <c r="FY103" s="1">
        <v>0</v>
      </c>
      <c r="FZ103" s="1">
        <v>0</v>
      </c>
      <c r="GA103" s="1">
        <v>0</v>
      </c>
      <c r="GB103" s="1">
        <v>0</v>
      </c>
      <c r="GC103" s="1">
        <v>1</v>
      </c>
      <c r="GD103" s="1">
        <v>0</v>
      </c>
      <c r="GE103" s="1">
        <v>0</v>
      </c>
      <c r="GF103" s="1">
        <v>0</v>
      </c>
      <c r="GG103" s="1">
        <v>0</v>
      </c>
      <c r="GH103" s="1">
        <v>1</v>
      </c>
      <c r="GI103" s="1">
        <v>0</v>
      </c>
      <c r="GJ103" s="1">
        <v>0</v>
      </c>
      <c r="GK103" s="1">
        <v>0</v>
      </c>
      <c r="GL103" s="1">
        <v>0</v>
      </c>
      <c r="GM103" s="1">
        <v>1</v>
      </c>
      <c r="GN103" s="1">
        <v>1</v>
      </c>
      <c r="GO103" s="1">
        <v>1</v>
      </c>
      <c r="GP103" s="1">
        <v>0</v>
      </c>
      <c r="GQ103" s="1">
        <v>1</v>
      </c>
      <c r="GR103" s="1">
        <v>0</v>
      </c>
      <c r="GS103" s="1">
        <v>1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</row>
    <row r="104" spans="1:214" x14ac:dyDescent="0.2">
      <c r="A104" s="1" t="s">
        <v>489</v>
      </c>
      <c r="B104" s="1" t="s">
        <v>489</v>
      </c>
      <c r="D104" s="1" t="s">
        <v>490</v>
      </c>
      <c r="E104" s="1" t="s">
        <v>215</v>
      </c>
      <c r="F104" s="1">
        <v>0</v>
      </c>
      <c r="G104" s="1" t="s">
        <v>251</v>
      </c>
      <c r="H104" s="1" t="s">
        <v>252</v>
      </c>
      <c r="I104" s="1" t="s">
        <v>253</v>
      </c>
      <c r="J104" s="1">
        <v>470</v>
      </c>
      <c r="K104" s="1" t="s">
        <v>22</v>
      </c>
      <c r="L104" s="1" t="s">
        <v>254</v>
      </c>
      <c r="M104" s="1" t="s">
        <v>14</v>
      </c>
      <c r="N104" s="1">
        <f>IF(Regions_master[[#This Row],[Forecaster]]=Regions_master[[#Headers],[Grigor]],1,0)</f>
        <v>0</v>
      </c>
      <c r="O104" s="1">
        <f>IF(Regions_master[[#This Row],[Forecaster]]=Regions_master[[#Headers],[Ingo]],1,0)</f>
        <v>1</v>
      </c>
      <c r="P104" s="1">
        <f>IF(Regions_master[[#This Row],[Forecaster]]=Regions_master[[#Headers],[Danyira]],1,0)</f>
        <v>0</v>
      </c>
      <c r="Q104" s="1">
        <f>IF(Regions_master[[#This Row],[Forecaster]]=Regions_master[[#Headers],[Sebastian]],1,0)</f>
        <v>0</v>
      </c>
      <c r="R104" s="1">
        <f>IF(Regions_master[[#This Row],[Forecaster]]=Regions_master[[#Headers],[Yasu]],1,0)</f>
        <v>0</v>
      </c>
      <c r="S104" s="1">
        <f>IF(Regions_master[[#This Row],[Forecaster]]=Regions_master[[#Headers],[Zhenqian]],1,0)</f>
        <v>0</v>
      </c>
      <c r="T104" s="1">
        <f>IF(Regions_master[[#This Row],[Forecaster]]=Regions_master[[#Headers],[Berna]],1,0)</f>
        <v>0</v>
      </c>
      <c r="U104" s="1">
        <f>IF(Regions_master[[#This Row],[Forecaster]]=Regions_master[[#Headers],[Julian]],1,0)</f>
        <v>0</v>
      </c>
      <c r="V104" s="1">
        <f>IF(Regions_master[[#This Row],[Forecaster]]=Regions_master[[#Headers],[Katarzyna]],1,0)</f>
        <v>0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1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1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1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1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1</v>
      </c>
      <c r="ED104" s="1">
        <v>0</v>
      </c>
      <c r="EE104" s="1">
        <v>0</v>
      </c>
      <c r="EF104" s="1">
        <v>1</v>
      </c>
      <c r="EG104" s="1">
        <v>0</v>
      </c>
      <c r="EH104" s="1">
        <v>1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1</v>
      </c>
      <c r="FB104" s="1">
        <v>1</v>
      </c>
      <c r="FC104" s="1">
        <v>0</v>
      </c>
      <c r="FD104" s="1">
        <v>1</v>
      </c>
      <c r="FE104" s="1">
        <v>1</v>
      </c>
      <c r="FF104" s="1">
        <v>1</v>
      </c>
      <c r="FG104" s="1">
        <v>1</v>
      </c>
      <c r="FH104" s="1">
        <v>1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1</v>
      </c>
      <c r="GK104" s="1">
        <v>1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</row>
    <row r="105" spans="1:214" x14ac:dyDescent="0.2">
      <c r="A105" s="1" t="s">
        <v>491</v>
      </c>
      <c r="B105" s="1" t="s">
        <v>491</v>
      </c>
      <c r="D105" s="1" t="s">
        <v>492</v>
      </c>
      <c r="E105" s="1" t="s">
        <v>215</v>
      </c>
      <c r="F105" s="1">
        <v>0</v>
      </c>
      <c r="G105" s="1" t="s">
        <v>227</v>
      </c>
      <c r="H105" s="1" t="s">
        <v>228</v>
      </c>
      <c r="I105" s="1" t="s">
        <v>229</v>
      </c>
      <c r="J105" s="1">
        <v>478</v>
      </c>
      <c r="K105" s="1" t="s">
        <v>24</v>
      </c>
      <c r="L105" s="1" t="s">
        <v>235</v>
      </c>
      <c r="M105" s="1" t="s">
        <v>17</v>
      </c>
      <c r="N105" s="1">
        <f>IF(Regions_master[[#This Row],[Forecaster]]=Regions_master[[#Headers],[Grigor]],1,0)</f>
        <v>0</v>
      </c>
      <c r="O105" s="1">
        <f>IF(Regions_master[[#This Row],[Forecaster]]=Regions_master[[#Headers],[Ingo]],1,0)</f>
        <v>0</v>
      </c>
      <c r="P105" s="1">
        <f>IF(Regions_master[[#This Row],[Forecaster]]=Regions_master[[#Headers],[Danyira]],1,0)</f>
        <v>0</v>
      </c>
      <c r="Q105" s="1">
        <f>IF(Regions_master[[#This Row],[Forecaster]]=Regions_master[[#Headers],[Sebastian]],1,0)</f>
        <v>0</v>
      </c>
      <c r="R105" s="1">
        <f>IF(Regions_master[[#This Row],[Forecaster]]=Regions_master[[#Headers],[Yasu]],1,0)</f>
        <v>1</v>
      </c>
      <c r="S105" s="1">
        <f>IF(Regions_master[[#This Row],[Forecaster]]=Regions_master[[#Headers],[Zhenqian]],1,0)</f>
        <v>0</v>
      </c>
      <c r="T105" s="1">
        <f>IF(Regions_master[[#This Row],[Forecaster]]=Regions_master[[#Headers],[Berna]],1,0)</f>
        <v>0</v>
      </c>
      <c r="U105" s="1">
        <f>IF(Regions_master[[#This Row],[Forecaster]]=Regions_master[[#Headers],[Julian]],1,0)</f>
        <v>0</v>
      </c>
      <c r="V105" s="1">
        <f>IF(Regions_master[[#This Row],[Forecaster]]=Regions_master[[#Headers],[Katarzyna]],1,0)</f>
        <v>0</v>
      </c>
      <c r="W105" s="1">
        <v>1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1</v>
      </c>
      <c r="AO105" s="1">
        <v>1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</v>
      </c>
      <c r="BG105" s="1">
        <v>0</v>
      </c>
      <c r="BH105" s="1">
        <v>1</v>
      </c>
      <c r="BI105" s="1">
        <v>1</v>
      </c>
      <c r="BJ105" s="1">
        <v>1</v>
      </c>
      <c r="BK105" s="1">
        <v>0</v>
      </c>
      <c r="BL105" s="1">
        <v>0</v>
      </c>
      <c r="BM105" s="1">
        <v>0</v>
      </c>
      <c r="BN105" s="1">
        <v>1</v>
      </c>
      <c r="BO105" s="1">
        <v>0</v>
      </c>
      <c r="BP105" s="1">
        <v>0</v>
      </c>
      <c r="BQ105" s="1">
        <v>1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1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1</v>
      </c>
      <c r="CQ105" s="1">
        <v>0</v>
      </c>
      <c r="CR105" s="1">
        <v>0</v>
      </c>
      <c r="CS105" s="1">
        <v>0</v>
      </c>
      <c r="CT105" s="1">
        <v>0</v>
      </c>
      <c r="CU105" s="1">
        <v>1</v>
      </c>
      <c r="CV105" s="1">
        <v>1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1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1</v>
      </c>
      <c r="DK105" s="1">
        <v>1</v>
      </c>
      <c r="DL105" s="1">
        <v>0</v>
      </c>
      <c r="DM105" s="1">
        <v>0</v>
      </c>
      <c r="DN105" s="1">
        <v>0</v>
      </c>
      <c r="DO105" s="1">
        <v>0</v>
      </c>
      <c r="DP105" s="1">
        <v>1</v>
      </c>
      <c r="DQ105" s="1">
        <v>1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1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1</v>
      </c>
      <c r="EK105" s="1">
        <v>1</v>
      </c>
      <c r="EL105" s="1">
        <v>1</v>
      </c>
      <c r="EM105" s="1">
        <v>0</v>
      </c>
      <c r="EN105" s="1">
        <v>0</v>
      </c>
      <c r="EO105" s="1">
        <v>0</v>
      </c>
      <c r="EP105" s="1">
        <v>0</v>
      </c>
      <c r="EQ105" s="1">
        <v>1</v>
      </c>
      <c r="ER105" s="1">
        <v>0</v>
      </c>
      <c r="ES105" s="1">
        <v>0</v>
      </c>
      <c r="ET105" s="1">
        <v>0</v>
      </c>
      <c r="EU105" s="1">
        <v>0</v>
      </c>
      <c r="EV105" s="1">
        <v>1</v>
      </c>
      <c r="EW105" s="1">
        <v>0</v>
      </c>
      <c r="EX105" s="1">
        <v>1</v>
      </c>
      <c r="EY105" s="1">
        <v>0</v>
      </c>
      <c r="EZ105" s="1">
        <v>0</v>
      </c>
      <c r="FA105" s="1">
        <v>1</v>
      </c>
      <c r="FB105" s="1">
        <v>0</v>
      </c>
      <c r="FC105" s="1">
        <v>0</v>
      </c>
      <c r="FD105" s="1">
        <v>1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 s="1">
        <v>0</v>
      </c>
      <c r="FN105" s="1">
        <v>0</v>
      </c>
      <c r="FO105" s="1">
        <v>0</v>
      </c>
      <c r="FP105" s="1">
        <v>1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1</v>
      </c>
      <c r="FY105" s="1">
        <v>0</v>
      </c>
      <c r="FZ105" s="1">
        <v>0</v>
      </c>
      <c r="GA105" s="1">
        <v>0</v>
      </c>
      <c r="GB105" s="1">
        <v>0</v>
      </c>
      <c r="GC105" s="1">
        <v>1</v>
      </c>
      <c r="GD105" s="1">
        <v>0</v>
      </c>
      <c r="GE105" s="1">
        <v>0</v>
      </c>
      <c r="GF105" s="1">
        <v>0</v>
      </c>
      <c r="GG105" s="1">
        <v>1</v>
      </c>
      <c r="GH105" s="1">
        <v>1</v>
      </c>
      <c r="GI105" s="1">
        <v>0</v>
      </c>
      <c r="GJ105" s="1">
        <v>0</v>
      </c>
      <c r="GK105" s="1">
        <v>0</v>
      </c>
      <c r="GL105" s="1">
        <v>1</v>
      </c>
      <c r="GM105" s="1">
        <v>0</v>
      </c>
      <c r="GN105" s="1">
        <v>1</v>
      </c>
      <c r="GO105" s="1">
        <v>1</v>
      </c>
      <c r="GP105" s="1">
        <v>1</v>
      </c>
      <c r="GQ105" s="1">
        <v>1</v>
      </c>
      <c r="GR105" s="1">
        <v>0</v>
      </c>
      <c r="GS105" s="1">
        <v>1</v>
      </c>
      <c r="GT105" s="1">
        <v>1</v>
      </c>
      <c r="GU105" s="1">
        <v>1</v>
      </c>
      <c r="GV105" s="1">
        <v>1</v>
      </c>
      <c r="GW105" s="1">
        <v>1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1</v>
      </c>
      <c r="HD105" s="1">
        <v>1</v>
      </c>
      <c r="HE105" s="1">
        <v>0</v>
      </c>
      <c r="HF105" s="1">
        <v>0</v>
      </c>
    </row>
    <row r="106" spans="1:214" x14ac:dyDescent="0.2">
      <c r="A106" s="1" t="s">
        <v>493</v>
      </c>
      <c r="B106" s="1" t="s">
        <v>493</v>
      </c>
      <c r="D106" s="1" t="s">
        <v>494</v>
      </c>
      <c r="E106" s="1" t="s">
        <v>215</v>
      </c>
      <c r="F106" s="1">
        <v>0</v>
      </c>
      <c r="G106" s="1" t="s">
        <v>227</v>
      </c>
      <c r="H106" s="1" t="s">
        <v>233</v>
      </c>
      <c r="I106" s="1" t="s">
        <v>234</v>
      </c>
      <c r="J106" s="1">
        <v>480</v>
      </c>
      <c r="K106" s="1" t="s">
        <v>24</v>
      </c>
      <c r="L106" s="1" t="s">
        <v>336</v>
      </c>
      <c r="M106" s="1" t="s">
        <v>20</v>
      </c>
      <c r="N106" s="1">
        <f>IF(Regions_master[[#This Row],[Forecaster]]=Regions_master[[#Headers],[Grigor]],1,0)</f>
        <v>0</v>
      </c>
      <c r="O106" s="1">
        <f>IF(Regions_master[[#This Row],[Forecaster]]=Regions_master[[#Headers],[Ingo]],1,0)</f>
        <v>0</v>
      </c>
      <c r="P106" s="1">
        <f>IF(Regions_master[[#This Row],[Forecaster]]=Regions_master[[#Headers],[Danyira]],1,0)</f>
        <v>0</v>
      </c>
      <c r="Q106" s="1">
        <f>IF(Regions_master[[#This Row],[Forecaster]]=Regions_master[[#Headers],[Sebastian]],1,0)</f>
        <v>0</v>
      </c>
      <c r="R106" s="1">
        <f>IF(Regions_master[[#This Row],[Forecaster]]=Regions_master[[#Headers],[Yasu]],1,0)</f>
        <v>0</v>
      </c>
      <c r="S106" s="1">
        <f>IF(Regions_master[[#This Row],[Forecaster]]=Regions_master[[#Headers],[Zhenqian]],1,0)</f>
        <v>0</v>
      </c>
      <c r="T106" s="1">
        <f>IF(Regions_master[[#This Row],[Forecaster]]=Regions_master[[#Headers],[Berna]],1,0)</f>
        <v>0</v>
      </c>
      <c r="U106" s="1">
        <f>IF(Regions_master[[#This Row],[Forecaster]]=Regions_master[[#Headers],[Julian]],1,0)</f>
        <v>0</v>
      </c>
      <c r="V106" s="1">
        <f>IF(Regions_master[[#This Row],[Forecaster]]=Regions_master[[#Headers],[Katarzyna]],1,0)</f>
        <v>1</v>
      </c>
      <c r="W106" s="1">
        <v>1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  <c r="BQ106" s="1">
        <v>1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1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1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1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1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1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1</v>
      </c>
      <c r="DQ106" s="1">
        <v>1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1</v>
      </c>
      <c r="EE106" s="1">
        <v>1</v>
      </c>
      <c r="EF106" s="1">
        <v>1</v>
      </c>
      <c r="EG106" s="1">
        <v>0</v>
      </c>
      <c r="EH106" s="1">
        <v>0</v>
      </c>
      <c r="EI106" s="1">
        <v>1</v>
      </c>
      <c r="EJ106" s="1">
        <v>0</v>
      </c>
      <c r="EK106" s="1">
        <v>1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1</v>
      </c>
      <c r="ER106" s="1">
        <v>0</v>
      </c>
      <c r="ES106" s="1">
        <v>1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1</v>
      </c>
      <c r="FB106" s="1">
        <v>1</v>
      </c>
      <c r="FC106" s="1">
        <v>0</v>
      </c>
      <c r="FD106" s="1">
        <v>1</v>
      </c>
      <c r="FE106" s="1">
        <v>1</v>
      </c>
      <c r="FF106" s="1">
        <v>1</v>
      </c>
      <c r="FG106" s="1">
        <v>1</v>
      </c>
      <c r="FH106" s="1">
        <v>1</v>
      </c>
      <c r="FI106" s="1">
        <v>1</v>
      </c>
      <c r="FJ106" s="1">
        <v>1</v>
      </c>
      <c r="FK106" s="1">
        <v>1</v>
      </c>
      <c r="FL106" s="1">
        <v>1</v>
      </c>
      <c r="FM106" s="1">
        <v>0</v>
      </c>
      <c r="FN106" s="1">
        <v>0</v>
      </c>
      <c r="FO106" s="1">
        <v>0</v>
      </c>
      <c r="FP106" s="1">
        <v>1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1</v>
      </c>
      <c r="FY106" s="1">
        <v>0</v>
      </c>
      <c r="FZ106" s="1">
        <v>0</v>
      </c>
      <c r="GA106" s="1">
        <v>0</v>
      </c>
      <c r="GB106" s="1">
        <v>0</v>
      </c>
      <c r="GC106" s="1">
        <v>1</v>
      </c>
      <c r="GD106" s="1">
        <v>0</v>
      </c>
      <c r="GE106" s="1">
        <v>0</v>
      </c>
      <c r="GF106" s="1">
        <v>0</v>
      </c>
      <c r="GG106" s="1">
        <v>1</v>
      </c>
      <c r="GH106" s="1">
        <v>0</v>
      </c>
      <c r="GI106" s="1">
        <v>0</v>
      </c>
      <c r="GJ106" s="1">
        <v>1</v>
      </c>
      <c r="GK106" s="1">
        <v>0</v>
      </c>
      <c r="GL106" s="1">
        <v>0</v>
      </c>
      <c r="GM106" s="1">
        <v>0</v>
      </c>
      <c r="GN106" s="1">
        <v>1</v>
      </c>
      <c r="GO106" s="1">
        <v>0</v>
      </c>
      <c r="GP106" s="1">
        <v>0</v>
      </c>
      <c r="GQ106" s="1">
        <v>1</v>
      </c>
      <c r="GR106" s="1">
        <v>0</v>
      </c>
      <c r="GS106" s="1">
        <v>0</v>
      </c>
      <c r="GT106" s="1">
        <v>1</v>
      </c>
      <c r="GU106" s="1">
        <v>1</v>
      </c>
      <c r="GV106" s="1">
        <v>1</v>
      </c>
      <c r="GW106" s="1">
        <v>1</v>
      </c>
      <c r="GX106" s="1">
        <v>0</v>
      </c>
      <c r="GY106" s="1">
        <v>1</v>
      </c>
      <c r="GZ106" s="1">
        <v>1</v>
      </c>
      <c r="HA106" s="1">
        <v>0</v>
      </c>
      <c r="HB106" s="1">
        <v>0</v>
      </c>
      <c r="HC106" s="1">
        <v>1</v>
      </c>
      <c r="HD106" s="1">
        <v>1</v>
      </c>
      <c r="HE106" s="1">
        <v>1</v>
      </c>
      <c r="HF106" s="1">
        <v>0</v>
      </c>
    </row>
    <row r="107" spans="1:214" x14ac:dyDescent="0.2">
      <c r="A107" s="1" t="s">
        <v>495</v>
      </c>
      <c r="B107" s="1" t="s">
        <v>495</v>
      </c>
      <c r="D107" s="1" t="s">
        <v>496</v>
      </c>
      <c r="E107" s="1" t="s">
        <v>215</v>
      </c>
      <c r="F107" s="1">
        <v>0</v>
      </c>
      <c r="G107" s="1" t="s">
        <v>238</v>
      </c>
      <c r="H107" s="1" t="s">
        <v>342</v>
      </c>
      <c r="I107" s="1" t="s">
        <v>343</v>
      </c>
      <c r="J107" s="1">
        <v>484</v>
      </c>
      <c r="K107" s="1" t="s">
        <v>24</v>
      </c>
      <c r="L107" s="1" t="s">
        <v>261</v>
      </c>
      <c r="M107" s="1" t="s">
        <v>16</v>
      </c>
      <c r="N107" s="1">
        <f>IF(Regions_master[[#This Row],[Forecaster]]=Regions_master[[#Headers],[Grigor]],1,0)</f>
        <v>0</v>
      </c>
      <c r="O107" s="1">
        <f>IF(Regions_master[[#This Row],[Forecaster]]=Regions_master[[#Headers],[Ingo]],1,0)</f>
        <v>0</v>
      </c>
      <c r="P107" s="1">
        <f>IF(Regions_master[[#This Row],[Forecaster]]=Regions_master[[#Headers],[Danyira]],1,0)</f>
        <v>0</v>
      </c>
      <c r="Q107" s="1">
        <f>IF(Regions_master[[#This Row],[Forecaster]]=Regions_master[[#Headers],[Sebastian]],1,0)</f>
        <v>1</v>
      </c>
      <c r="R107" s="1">
        <f>IF(Regions_master[[#This Row],[Forecaster]]=Regions_master[[#Headers],[Yasu]],1,0)</f>
        <v>0</v>
      </c>
      <c r="S107" s="1">
        <f>IF(Regions_master[[#This Row],[Forecaster]]=Regions_master[[#Headers],[Zhenqian]],1,0)</f>
        <v>0</v>
      </c>
      <c r="T107" s="1">
        <f>IF(Regions_master[[#This Row],[Forecaster]]=Regions_master[[#Headers],[Berna]],1,0)</f>
        <v>0</v>
      </c>
      <c r="U107" s="1">
        <f>IF(Regions_master[[#This Row],[Forecaster]]=Regions_master[[#Headers],[Julian]],1,0)</f>
        <v>0</v>
      </c>
      <c r="V107" s="1">
        <f>IF(Regions_master[[#This Row],[Forecaster]]=Regions_master[[#Headers],[Katarzyna]],1,0)</f>
        <v>0</v>
      </c>
      <c r="W107" s="1">
        <v>1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0</v>
      </c>
      <c r="BA107" s="1">
        <v>1</v>
      </c>
      <c r="BB107" s="1">
        <v>0</v>
      </c>
      <c r="BC107" s="1">
        <v>0</v>
      </c>
      <c r="BD107" s="1">
        <v>0</v>
      </c>
      <c r="BE107" s="1">
        <v>1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1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1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1</v>
      </c>
      <c r="CS107" s="1">
        <v>0</v>
      </c>
      <c r="CT107" s="1">
        <v>1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1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1</v>
      </c>
      <c r="DQ107" s="1">
        <v>1</v>
      </c>
      <c r="DR107" s="1">
        <v>1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1</v>
      </c>
      <c r="EE107" s="1">
        <v>0</v>
      </c>
      <c r="EF107" s="1">
        <v>1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1</v>
      </c>
      <c r="EP107" s="1">
        <v>0</v>
      </c>
      <c r="EQ107" s="1">
        <v>0</v>
      </c>
      <c r="ER107" s="1">
        <v>0</v>
      </c>
      <c r="ES107" s="1">
        <v>1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1</v>
      </c>
      <c r="FB107" s="1">
        <v>1</v>
      </c>
      <c r="FC107" s="1">
        <v>0</v>
      </c>
      <c r="FD107" s="1">
        <v>1</v>
      </c>
      <c r="FE107" s="1">
        <v>1</v>
      </c>
      <c r="FF107" s="1">
        <v>1</v>
      </c>
      <c r="FG107" s="1">
        <v>1</v>
      </c>
      <c r="FH107" s="1">
        <v>1</v>
      </c>
      <c r="FI107" s="1">
        <v>1</v>
      </c>
      <c r="FJ107" s="1">
        <v>1</v>
      </c>
      <c r="FK107" s="1">
        <v>1</v>
      </c>
      <c r="FL107" s="1">
        <v>1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1</v>
      </c>
      <c r="FW107" s="1">
        <v>0</v>
      </c>
      <c r="FX107" s="1">
        <v>0</v>
      </c>
      <c r="FY107" s="1">
        <v>0</v>
      </c>
      <c r="FZ107" s="1">
        <v>0</v>
      </c>
      <c r="GA107" s="1">
        <v>1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1</v>
      </c>
      <c r="GH107" s="1">
        <v>0</v>
      </c>
      <c r="GI107" s="1">
        <v>0</v>
      </c>
      <c r="GJ107" s="1">
        <v>1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1</v>
      </c>
      <c r="GU107" s="1">
        <v>1</v>
      </c>
      <c r="GV107" s="1">
        <v>1</v>
      </c>
      <c r="GW107" s="1">
        <v>1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1</v>
      </c>
      <c r="HD107" s="1">
        <v>1</v>
      </c>
      <c r="HE107" s="1">
        <v>1</v>
      </c>
      <c r="HF107" s="1">
        <v>0</v>
      </c>
    </row>
    <row r="108" spans="1:214" x14ac:dyDescent="0.2">
      <c r="A108" s="1" t="s">
        <v>497</v>
      </c>
      <c r="B108" s="1" t="s">
        <v>497</v>
      </c>
      <c r="D108" s="1" t="s">
        <v>498</v>
      </c>
      <c r="E108" s="1" t="s">
        <v>215</v>
      </c>
      <c r="F108" s="1">
        <v>0</v>
      </c>
      <c r="G108" s="1" t="s">
        <v>216</v>
      </c>
      <c r="H108" s="1" t="s">
        <v>296</v>
      </c>
      <c r="I108" s="1" t="s">
        <v>297</v>
      </c>
      <c r="J108" s="1">
        <v>496</v>
      </c>
      <c r="K108" s="1" t="s">
        <v>24</v>
      </c>
      <c r="L108" s="1" t="s">
        <v>235</v>
      </c>
      <c r="M108" s="1" t="s">
        <v>299</v>
      </c>
      <c r="N108" s="1">
        <f>IF(Regions_master[[#This Row],[Forecaster]]=Regions_master[[#Headers],[Grigor]],1,0)</f>
        <v>0</v>
      </c>
      <c r="O108" s="1">
        <f>IF(Regions_master[[#This Row],[Forecaster]]=Regions_master[[#Headers],[Ingo]],1,0)</f>
        <v>0</v>
      </c>
      <c r="P108" s="1">
        <f>IF(Regions_master[[#This Row],[Forecaster]]=Regions_master[[#Headers],[Danyira]],1,0)</f>
        <v>0</v>
      </c>
      <c r="Q108" s="1">
        <f>IF(Regions_master[[#This Row],[Forecaster]]=Regions_master[[#Headers],[Sebastian]],1,0)</f>
        <v>0</v>
      </c>
      <c r="R108" s="1">
        <f>IF(Regions_master[[#This Row],[Forecaster]]=Regions_master[[#Headers],[Yasu]],1,0)</f>
        <v>0</v>
      </c>
      <c r="S108" s="1">
        <f>IF(Regions_master[[#This Row],[Forecaster]]=Regions_master[[#Headers],[Zhenqian]],1,0)</f>
        <v>1</v>
      </c>
      <c r="T108" s="1">
        <f>IF(Regions_master[[#This Row],[Forecaster]]=Regions_master[[#Headers],[Berna]],1,0)</f>
        <v>0</v>
      </c>
      <c r="U108" s="1">
        <f>IF(Regions_master[[#This Row],[Forecaster]]=Regions_master[[#Headers],[Julian]],1,0)</f>
        <v>0</v>
      </c>
      <c r="V108" s="1">
        <f>IF(Regions_master[[#This Row],[Forecaster]]=Regions_master[[#Headers],[Katarzyna]],1,0)</f>
        <v>0</v>
      </c>
      <c r="W108" s="1">
        <v>1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1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1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1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1</v>
      </c>
      <c r="CV108" s="1">
        <v>1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1</v>
      </c>
      <c r="DD108" s="1">
        <v>1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1</v>
      </c>
      <c r="DM108" s="1">
        <v>0</v>
      </c>
      <c r="DN108" s="1">
        <v>0</v>
      </c>
      <c r="DO108" s="1">
        <v>0</v>
      </c>
      <c r="DP108" s="1">
        <v>1</v>
      </c>
      <c r="DQ108" s="1">
        <v>1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1</v>
      </c>
      <c r="ED108" s="1">
        <v>0</v>
      </c>
      <c r="EE108" s="1">
        <v>0</v>
      </c>
      <c r="EF108" s="1">
        <v>0</v>
      </c>
      <c r="EG108" s="1">
        <v>0</v>
      </c>
      <c r="EH108" s="1">
        <v>1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1</v>
      </c>
      <c r="EO108" s="1">
        <v>0</v>
      </c>
      <c r="EP108" s="1">
        <v>0</v>
      </c>
      <c r="EQ108" s="1">
        <v>0</v>
      </c>
      <c r="ER108" s="1">
        <v>0</v>
      </c>
      <c r="ES108" s="1">
        <v>1</v>
      </c>
      <c r="ET108" s="1">
        <v>0</v>
      </c>
      <c r="EU108" s="1">
        <v>1</v>
      </c>
      <c r="EV108" s="1">
        <v>0</v>
      </c>
      <c r="EW108" s="1">
        <v>0</v>
      </c>
      <c r="EX108" s="1">
        <v>1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1</v>
      </c>
      <c r="FE108" s="1">
        <v>1</v>
      </c>
      <c r="FF108" s="1">
        <v>1</v>
      </c>
      <c r="FG108" s="1">
        <v>1</v>
      </c>
      <c r="FH108" s="1">
        <v>1</v>
      </c>
      <c r="FI108" s="1">
        <v>1</v>
      </c>
      <c r="FJ108" s="1">
        <v>1</v>
      </c>
      <c r="FK108" s="1">
        <v>1</v>
      </c>
      <c r="FL108" s="1">
        <v>1</v>
      </c>
      <c r="FM108" s="1">
        <v>0</v>
      </c>
      <c r="FN108" s="1">
        <v>0</v>
      </c>
      <c r="FO108" s="1">
        <v>0</v>
      </c>
      <c r="FP108" s="1">
        <v>0</v>
      </c>
      <c r="FQ108" s="1">
        <v>1</v>
      </c>
      <c r="FR108" s="1">
        <v>0</v>
      </c>
      <c r="FS108" s="1">
        <v>1</v>
      </c>
      <c r="FT108" s="1">
        <v>1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1</v>
      </c>
      <c r="GE108" s="1">
        <v>0</v>
      </c>
      <c r="GF108" s="1">
        <v>0</v>
      </c>
      <c r="GG108" s="1">
        <v>0</v>
      </c>
      <c r="GH108" s="1">
        <v>1</v>
      </c>
      <c r="GI108" s="1">
        <v>0</v>
      </c>
      <c r="GJ108" s="1">
        <v>0</v>
      </c>
      <c r="GK108" s="1">
        <v>1</v>
      </c>
      <c r="GL108" s="1">
        <v>0</v>
      </c>
      <c r="GM108" s="1">
        <v>0</v>
      </c>
      <c r="GN108" s="1">
        <v>1</v>
      </c>
      <c r="GO108" s="1">
        <v>0</v>
      </c>
      <c r="GP108" s="1">
        <v>0</v>
      </c>
      <c r="GQ108" s="1">
        <v>0</v>
      </c>
      <c r="GR108" s="1">
        <v>0</v>
      </c>
      <c r="GS108" s="1">
        <v>1</v>
      </c>
      <c r="GT108" s="1">
        <v>1</v>
      </c>
      <c r="GU108" s="1">
        <v>1</v>
      </c>
      <c r="GV108" s="1">
        <v>1</v>
      </c>
      <c r="GW108" s="1">
        <v>1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1</v>
      </c>
      <c r="HD108" s="1">
        <v>1</v>
      </c>
      <c r="HE108" s="1">
        <v>1</v>
      </c>
      <c r="HF108" s="1">
        <v>0</v>
      </c>
    </row>
    <row r="109" spans="1:214" x14ac:dyDescent="0.2">
      <c r="A109" s="1" t="s">
        <v>499</v>
      </c>
      <c r="B109" s="1" t="s">
        <v>499</v>
      </c>
      <c r="D109" s="1" t="s">
        <v>500</v>
      </c>
      <c r="E109" s="1" t="s">
        <v>215</v>
      </c>
      <c r="F109" s="1">
        <v>0</v>
      </c>
      <c r="G109" s="1" t="s">
        <v>222</v>
      </c>
      <c r="H109" s="1" t="s">
        <v>223</v>
      </c>
      <c r="I109" s="1" t="s">
        <v>222</v>
      </c>
      <c r="J109" s="1">
        <v>499</v>
      </c>
      <c r="K109" s="1" t="s">
        <v>23</v>
      </c>
      <c r="L109" s="1" t="s">
        <v>245</v>
      </c>
      <c r="M109" s="1" t="s">
        <v>13</v>
      </c>
      <c r="N109" s="1">
        <f>IF(Regions_master[[#This Row],[Forecaster]]=Regions_master[[#Headers],[Grigor]],1,0)</f>
        <v>1</v>
      </c>
      <c r="O109" s="1">
        <f>IF(Regions_master[[#This Row],[Forecaster]]=Regions_master[[#Headers],[Ingo]],1,0)</f>
        <v>0</v>
      </c>
      <c r="P109" s="1">
        <f>IF(Regions_master[[#This Row],[Forecaster]]=Regions_master[[#Headers],[Danyira]],1,0)</f>
        <v>0</v>
      </c>
      <c r="Q109" s="1">
        <f>IF(Regions_master[[#This Row],[Forecaster]]=Regions_master[[#Headers],[Sebastian]],1,0)</f>
        <v>0</v>
      </c>
      <c r="R109" s="1">
        <f>IF(Regions_master[[#This Row],[Forecaster]]=Regions_master[[#Headers],[Yasu]],1,0)</f>
        <v>0</v>
      </c>
      <c r="S109" s="1">
        <f>IF(Regions_master[[#This Row],[Forecaster]]=Regions_master[[#Headers],[Zhenqian]],1,0)</f>
        <v>0</v>
      </c>
      <c r="T109" s="1">
        <f>IF(Regions_master[[#This Row],[Forecaster]]=Regions_master[[#Headers],[Berna]],1,0)</f>
        <v>0</v>
      </c>
      <c r="U109" s="1">
        <f>IF(Regions_master[[#This Row],[Forecaster]]=Regions_master[[#Headers],[Julian]],1,0)</f>
        <v>0</v>
      </c>
      <c r="V109" s="1">
        <f>IF(Regions_master[[#This Row],[Forecaster]]=Regions_master[[#Headers],[Katarzyna]],1,0)</f>
        <v>0</v>
      </c>
      <c r="W109" s="1">
        <v>1</v>
      </c>
      <c r="X109" s="1">
        <v>0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1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1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1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1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1</v>
      </c>
      <c r="EE109" s="1">
        <v>1</v>
      </c>
      <c r="EF109" s="1">
        <v>0</v>
      </c>
      <c r="EG109" s="1">
        <v>0</v>
      </c>
      <c r="EH109" s="1">
        <v>1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1</v>
      </c>
      <c r="ET109" s="1">
        <v>0</v>
      </c>
      <c r="EU109" s="1">
        <v>0</v>
      </c>
      <c r="EV109" s="1">
        <v>0</v>
      </c>
      <c r="EW109" s="1">
        <v>0</v>
      </c>
      <c r="EX109" s="1">
        <v>1</v>
      </c>
      <c r="EY109" s="1">
        <v>0</v>
      </c>
      <c r="EZ109" s="1">
        <v>1</v>
      </c>
      <c r="FA109" s="1">
        <v>1</v>
      </c>
      <c r="FB109" s="1">
        <v>0</v>
      </c>
      <c r="FC109" s="1">
        <v>0</v>
      </c>
      <c r="FD109" s="1">
        <v>1</v>
      </c>
      <c r="FE109" s="1">
        <v>1</v>
      </c>
      <c r="FF109" s="1">
        <v>1</v>
      </c>
      <c r="FG109" s="1">
        <v>1</v>
      </c>
      <c r="FH109" s="1">
        <v>1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1</v>
      </c>
      <c r="GH109" s="1">
        <v>1</v>
      </c>
      <c r="GI109" s="1">
        <v>0</v>
      </c>
      <c r="GJ109" s="1">
        <v>0</v>
      </c>
      <c r="GK109" s="1">
        <v>1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1</v>
      </c>
      <c r="GT109" s="1">
        <v>1</v>
      </c>
      <c r="GU109" s="1">
        <v>1</v>
      </c>
      <c r="GV109" s="1">
        <v>1</v>
      </c>
      <c r="GW109" s="1">
        <v>1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1</v>
      </c>
      <c r="HD109" s="1">
        <v>1</v>
      </c>
      <c r="HE109" s="1">
        <v>1</v>
      </c>
      <c r="HF109" s="1">
        <v>0</v>
      </c>
    </row>
    <row r="110" spans="1:214" x14ac:dyDescent="0.2">
      <c r="A110" s="1" t="s">
        <v>501</v>
      </c>
      <c r="B110" s="1" t="s">
        <v>501</v>
      </c>
      <c r="D110" s="1" t="s">
        <v>502</v>
      </c>
      <c r="E110" s="1" t="s">
        <v>215</v>
      </c>
      <c r="F110" s="1">
        <v>0</v>
      </c>
      <c r="G110" s="1" t="s">
        <v>227</v>
      </c>
      <c r="H110" s="1" t="s">
        <v>228</v>
      </c>
      <c r="I110" s="1" t="s">
        <v>229</v>
      </c>
      <c r="J110" s="1">
        <v>504</v>
      </c>
      <c r="K110" s="1" t="s">
        <v>24</v>
      </c>
      <c r="L110" s="1" t="s">
        <v>336</v>
      </c>
      <c r="M110" s="1" t="s">
        <v>17</v>
      </c>
      <c r="N110" s="1">
        <f>IF(Regions_master[[#This Row],[Forecaster]]=Regions_master[[#Headers],[Grigor]],1,0)</f>
        <v>0</v>
      </c>
      <c r="O110" s="1">
        <f>IF(Regions_master[[#This Row],[Forecaster]]=Regions_master[[#Headers],[Ingo]],1,0)</f>
        <v>0</v>
      </c>
      <c r="P110" s="1">
        <f>IF(Regions_master[[#This Row],[Forecaster]]=Regions_master[[#Headers],[Danyira]],1,0)</f>
        <v>0</v>
      </c>
      <c r="Q110" s="1">
        <f>IF(Regions_master[[#This Row],[Forecaster]]=Regions_master[[#Headers],[Sebastian]],1,0)</f>
        <v>0</v>
      </c>
      <c r="R110" s="1">
        <f>IF(Regions_master[[#This Row],[Forecaster]]=Regions_master[[#Headers],[Yasu]],1,0)</f>
        <v>1</v>
      </c>
      <c r="S110" s="1">
        <f>IF(Regions_master[[#This Row],[Forecaster]]=Regions_master[[#Headers],[Zhenqian]],1,0)</f>
        <v>0</v>
      </c>
      <c r="T110" s="1">
        <f>IF(Regions_master[[#This Row],[Forecaster]]=Regions_master[[#Headers],[Berna]],1,0)</f>
        <v>0</v>
      </c>
      <c r="U110" s="1">
        <f>IF(Regions_master[[#This Row],[Forecaster]]=Regions_master[[#Headers],[Julian]],1,0)</f>
        <v>0</v>
      </c>
      <c r="V110" s="1">
        <f>IF(Regions_master[[#This Row],[Forecaster]]=Regions_master[[#Headers],[Katarzyna]],1,0)</f>
        <v>0</v>
      </c>
      <c r="W110" s="1">
        <v>1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</v>
      </c>
      <c r="AO110" s="1">
        <v>1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1</v>
      </c>
      <c r="BO110" s="1">
        <v>0</v>
      </c>
      <c r="BP110" s="1">
        <v>0</v>
      </c>
      <c r="BQ110" s="1">
        <v>1</v>
      </c>
      <c r="BR110" s="1">
        <v>0</v>
      </c>
      <c r="BS110" s="1">
        <v>0</v>
      </c>
      <c r="BT110" s="1">
        <v>0</v>
      </c>
      <c r="BU110" s="1">
        <v>0</v>
      </c>
      <c r="BV110" s="1">
        <v>1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1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1</v>
      </c>
      <c r="DK110" s="1">
        <v>1</v>
      </c>
      <c r="DL110" s="1">
        <v>0</v>
      </c>
      <c r="DM110" s="1">
        <v>0</v>
      </c>
      <c r="DN110" s="1">
        <v>0</v>
      </c>
      <c r="DO110" s="1">
        <v>0</v>
      </c>
      <c r="DP110" s="1">
        <v>1</v>
      </c>
      <c r="DQ110" s="1">
        <v>1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1</v>
      </c>
      <c r="EE110" s="1">
        <v>1</v>
      </c>
      <c r="EF110" s="1">
        <v>1</v>
      </c>
      <c r="EG110" s="1">
        <v>0</v>
      </c>
      <c r="EH110" s="1">
        <v>0</v>
      </c>
      <c r="EI110" s="1">
        <v>0</v>
      </c>
      <c r="EJ110" s="1">
        <v>0</v>
      </c>
      <c r="EK110" s="1">
        <v>1</v>
      </c>
      <c r="EL110" s="1">
        <v>1</v>
      </c>
      <c r="EM110" s="1">
        <v>0</v>
      </c>
      <c r="EN110" s="1">
        <v>0</v>
      </c>
      <c r="EO110" s="1">
        <v>0</v>
      </c>
      <c r="EP110" s="1">
        <v>0</v>
      </c>
      <c r="EQ110" s="1">
        <v>1</v>
      </c>
      <c r="ER110" s="1">
        <v>0</v>
      </c>
      <c r="ES110" s="1">
        <v>0</v>
      </c>
      <c r="ET110" s="1">
        <v>0</v>
      </c>
      <c r="EU110" s="1">
        <v>0</v>
      </c>
      <c r="EV110" s="1">
        <v>1</v>
      </c>
      <c r="EW110" s="1">
        <v>0</v>
      </c>
      <c r="EX110" s="1">
        <v>0</v>
      </c>
      <c r="EY110" s="1">
        <v>0</v>
      </c>
      <c r="EZ110" s="1">
        <v>0</v>
      </c>
      <c r="FA110" s="1">
        <v>1</v>
      </c>
      <c r="FB110" s="1">
        <v>1</v>
      </c>
      <c r="FC110" s="1">
        <v>0</v>
      </c>
      <c r="FD110" s="1">
        <v>1</v>
      </c>
      <c r="FE110" s="1">
        <v>1</v>
      </c>
      <c r="FF110" s="1">
        <v>1</v>
      </c>
      <c r="FG110" s="1">
        <v>1</v>
      </c>
      <c r="FH110" s="1">
        <v>1</v>
      </c>
      <c r="FI110" s="1">
        <v>1</v>
      </c>
      <c r="FJ110" s="1">
        <v>1</v>
      </c>
      <c r="FK110" s="1">
        <v>1</v>
      </c>
      <c r="FL110" s="1">
        <v>1</v>
      </c>
      <c r="FM110" s="1">
        <v>0</v>
      </c>
      <c r="FN110" s="1">
        <v>0</v>
      </c>
      <c r="FO110" s="1">
        <v>0</v>
      </c>
      <c r="FP110" s="1">
        <v>1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1</v>
      </c>
      <c r="FY110" s="1">
        <v>0</v>
      </c>
      <c r="FZ110" s="1">
        <v>0</v>
      </c>
      <c r="GA110" s="1">
        <v>0</v>
      </c>
      <c r="GB110" s="1">
        <v>1</v>
      </c>
      <c r="GC110" s="1">
        <v>1</v>
      </c>
      <c r="GD110" s="1">
        <v>0</v>
      </c>
      <c r="GE110" s="1">
        <v>0</v>
      </c>
      <c r="GF110" s="1">
        <v>0</v>
      </c>
      <c r="GG110" s="1">
        <v>1</v>
      </c>
      <c r="GH110" s="1">
        <v>0</v>
      </c>
      <c r="GI110" s="1">
        <v>0</v>
      </c>
      <c r="GJ110" s="1">
        <v>1</v>
      </c>
      <c r="GK110" s="1">
        <v>0</v>
      </c>
      <c r="GL110" s="1">
        <v>1</v>
      </c>
      <c r="GM110" s="1">
        <v>0</v>
      </c>
      <c r="GN110" s="1">
        <v>1</v>
      </c>
      <c r="GO110" s="1">
        <v>0</v>
      </c>
      <c r="GP110" s="1">
        <v>1</v>
      </c>
      <c r="GQ110" s="1">
        <v>1</v>
      </c>
      <c r="GR110" s="1">
        <v>0</v>
      </c>
      <c r="GS110" s="1">
        <v>0</v>
      </c>
      <c r="GT110" s="1">
        <v>1</v>
      </c>
      <c r="GU110" s="1">
        <v>1</v>
      </c>
      <c r="GV110" s="1">
        <v>1</v>
      </c>
      <c r="GW110" s="1">
        <v>1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1</v>
      </c>
      <c r="HD110" s="1">
        <v>1</v>
      </c>
      <c r="HE110" s="1">
        <v>0</v>
      </c>
      <c r="HF110" s="1">
        <v>0</v>
      </c>
    </row>
    <row r="111" spans="1:214" x14ac:dyDescent="0.2">
      <c r="A111" s="1" t="s">
        <v>503</v>
      </c>
      <c r="B111" s="1" t="s">
        <v>503</v>
      </c>
      <c r="D111" s="1" t="s">
        <v>504</v>
      </c>
      <c r="E111" s="1" t="s">
        <v>215</v>
      </c>
      <c r="F111" s="1">
        <v>0</v>
      </c>
      <c r="G111" s="1" t="s">
        <v>227</v>
      </c>
      <c r="H111" s="1" t="s">
        <v>233</v>
      </c>
      <c r="I111" s="1" t="s">
        <v>234</v>
      </c>
      <c r="J111" s="1">
        <v>508</v>
      </c>
      <c r="K111" s="1" t="s">
        <v>24</v>
      </c>
      <c r="L111" s="1" t="s">
        <v>219</v>
      </c>
      <c r="M111" s="1" t="s">
        <v>20</v>
      </c>
      <c r="N111" s="1">
        <f>IF(Regions_master[[#This Row],[Forecaster]]=Regions_master[[#Headers],[Grigor]],1,0)</f>
        <v>0</v>
      </c>
      <c r="O111" s="1">
        <f>IF(Regions_master[[#This Row],[Forecaster]]=Regions_master[[#Headers],[Ingo]],1,0)</f>
        <v>0</v>
      </c>
      <c r="P111" s="1">
        <f>IF(Regions_master[[#This Row],[Forecaster]]=Regions_master[[#Headers],[Danyira]],1,0)</f>
        <v>0</v>
      </c>
      <c r="Q111" s="1">
        <f>IF(Regions_master[[#This Row],[Forecaster]]=Regions_master[[#Headers],[Sebastian]],1,0)</f>
        <v>0</v>
      </c>
      <c r="R111" s="1">
        <f>IF(Regions_master[[#This Row],[Forecaster]]=Regions_master[[#Headers],[Yasu]],1,0)</f>
        <v>0</v>
      </c>
      <c r="S111" s="1">
        <f>IF(Regions_master[[#This Row],[Forecaster]]=Regions_master[[#Headers],[Zhenqian]],1,0)</f>
        <v>0</v>
      </c>
      <c r="T111" s="1">
        <f>IF(Regions_master[[#This Row],[Forecaster]]=Regions_master[[#Headers],[Berna]],1,0)</f>
        <v>0</v>
      </c>
      <c r="U111" s="1">
        <f>IF(Regions_master[[#This Row],[Forecaster]]=Regions_master[[#Headers],[Julian]],1,0)</f>
        <v>0</v>
      </c>
      <c r="V111" s="1">
        <f>IF(Regions_master[[#This Row],[Forecaster]]=Regions_master[[#Headers],[Katarzyna]],1,0)</f>
        <v>1</v>
      </c>
      <c r="W111" s="1">
        <v>1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</v>
      </c>
      <c r="BD111" s="1">
        <v>0</v>
      </c>
      <c r="BE111" s="1">
        <v>0</v>
      </c>
      <c r="BF111" s="1">
        <v>0</v>
      </c>
      <c r="BG111" s="1">
        <v>1</v>
      </c>
      <c r="BH111" s="1">
        <v>1</v>
      </c>
      <c r="BI111" s="1">
        <v>1</v>
      </c>
      <c r="BJ111" s="1">
        <v>1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1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1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1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1</v>
      </c>
      <c r="CV111" s="1">
        <v>1</v>
      </c>
      <c r="CW111" s="1">
        <v>0</v>
      </c>
      <c r="CX111" s="1">
        <v>0</v>
      </c>
      <c r="CY111" s="1">
        <v>0</v>
      </c>
      <c r="CZ111" s="1">
        <v>0</v>
      </c>
      <c r="DA111" s="1">
        <v>1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1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1</v>
      </c>
      <c r="DQ111" s="1">
        <v>1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0</v>
      </c>
      <c r="EC111" s="1">
        <v>1</v>
      </c>
      <c r="ED111" s="1">
        <v>0</v>
      </c>
      <c r="EE111" s="1">
        <v>0</v>
      </c>
      <c r="EF111" s="1">
        <v>0</v>
      </c>
      <c r="EG111" s="1">
        <v>0</v>
      </c>
      <c r="EH111" s="1">
        <v>1</v>
      </c>
      <c r="EI111" s="1">
        <v>0</v>
      </c>
      <c r="EJ111" s="1">
        <v>1</v>
      </c>
      <c r="EK111" s="1">
        <v>1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1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1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1</v>
      </c>
      <c r="FE111" s="1">
        <v>1</v>
      </c>
      <c r="FF111" s="1">
        <v>1</v>
      </c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 s="1">
        <v>0</v>
      </c>
      <c r="FN111" s="1">
        <v>0</v>
      </c>
      <c r="FO111" s="1">
        <v>0</v>
      </c>
      <c r="FP111" s="1">
        <v>1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1</v>
      </c>
      <c r="GD111" s="1">
        <v>0</v>
      </c>
      <c r="GE111" s="1">
        <v>0</v>
      </c>
      <c r="GF111" s="1">
        <v>0</v>
      </c>
      <c r="GG111" s="1">
        <v>0</v>
      </c>
      <c r="GH111" s="1">
        <v>1</v>
      </c>
      <c r="GI111" s="1">
        <v>0</v>
      </c>
      <c r="GJ111" s="1">
        <v>0</v>
      </c>
      <c r="GK111" s="1">
        <v>1</v>
      </c>
      <c r="GL111" s="1">
        <v>0</v>
      </c>
      <c r="GM111" s="1">
        <v>1</v>
      </c>
      <c r="GN111" s="1">
        <v>1</v>
      </c>
      <c r="GO111" s="1">
        <v>1</v>
      </c>
      <c r="GP111" s="1">
        <v>0</v>
      </c>
      <c r="GQ111" s="1">
        <v>1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</row>
    <row r="112" spans="1:214" x14ac:dyDescent="0.2">
      <c r="A112" s="1" t="s">
        <v>505</v>
      </c>
      <c r="B112" s="1" t="s">
        <v>505</v>
      </c>
      <c r="D112" s="1" t="s">
        <v>506</v>
      </c>
      <c r="E112" s="1" t="s">
        <v>215</v>
      </c>
      <c r="F112" s="1">
        <v>0</v>
      </c>
      <c r="G112" s="1" t="s">
        <v>216</v>
      </c>
      <c r="H112" s="1" t="s">
        <v>296</v>
      </c>
      <c r="I112" s="1" t="s">
        <v>297</v>
      </c>
      <c r="J112" s="1">
        <v>104</v>
      </c>
      <c r="K112" s="1" t="s">
        <v>24</v>
      </c>
      <c r="L112" s="1" t="s">
        <v>235</v>
      </c>
      <c r="M112" s="1" t="s">
        <v>299</v>
      </c>
      <c r="N112" s="1">
        <f>IF(Regions_master[[#This Row],[Forecaster]]=Regions_master[[#Headers],[Grigor]],1,0)</f>
        <v>0</v>
      </c>
      <c r="O112" s="1">
        <f>IF(Regions_master[[#This Row],[Forecaster]]=Regions_master[[#Headers],[Ingo]],1,0)</f>
        <v>0</v>
      </c>
      <c r="P112" s="1">
        <f>IF(Regions_master[[#This Row],[Forecaster]]=Regions_master[[#Headers],[Danyira]],1,0)</f>
        <v>0</v>
      </c>
      <c r="Q112" s="1">
        <f>IF(Regions_master[[#This Row],[Forecaster]]=Regions_master[[#Headers],[Sebastian]],1,0)</f>
        <v>0</v>
      </c>
      <c r="R112" s="1">
        <f>IF(Regions_master[[#This Row],[Forecaster]]=Regions_master[[#Headers],[Yasu]],1,0)</f>
        <v>0</v>
      </c>
      <c r="S112" s="1">
        <f>IF(Regions_master[[#This Row],[Forecaster]]=Regions_master[[#Headers],[Zhenqian]],1,0)</f>
        <v>1</v>
      </c>
      <c r="T112" s="1">
        <f>IF(Regions_master[[#This Row],[Forecaster]]=Regions_master[[#Headers],[Berna]],1,0)</f>
        <v>0</v>
      </c>
      <c r="U112" s="1">
        <f>IF(Regions_master[[#This Row],[Forecaster]]=Regions_master[[#Headers],[Julian]],1,0)</f>
        <v>0</v>
      </c>
      <c r="V112" s="1">
        <f>IF(Regions_master[[#This Row],[Forecaster]]=Regions_master[[#Headers],[Katarzyna]],1,0)</f>
        <v>0</v>
      </c>
      <c r="W112" s="1">
        <v>1</v>
      </c>
      <c r="X112" s="1">
        <v>0</v>
      </c>
      <c r="Y112" s="1">
        <v>0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1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</v>
      </c>
      <c r="BG112" s="1">
        <v>0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1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1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1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1</v>
      </c>
      <c r="DD112" s="1">
        <v>0</v>
      </c>
      <c r="DE112" s="1">
        <v>1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1</v>
      </c>
      <c r="DM112" s="1">
        <v>0</v>
      </c>
      <c r="DN112" s="1">
        <v>0</v>
      </c>
      <c r="DO112" s="1">
        <v>0</v>
      </c>
      <c r="DP112" s="1">
        <v>1</v>
      </c>
      <c r="DQ112" s="1">
        <v>1</v>
      </c>
      <c r="DR112" s="1">
        <v>0</v>
      </c>
      <c r="DS112" s="1">
        <v>0</v>
      </c>
      <c r="DT112" s="1">
        <v>0</v>
      </c>
      <c r="DU112" s="1">
        <v>1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1</v>
      </c>
      <c r="EE112" s="1">
        <v>0</v>
      </c>
      <c r="EF112" s="1">
        <v>1</v>
      </c>
      <c r="EG112" s="1">
        <v>0</v>
      </c>
      <c r="EH112" s="1">
        <v>1</v>
      </c>
      <c r="EI112" s="1">
        <v>0</v>
      </c>
      <c r="EJ112" s="1">
        <v>1</v>
      </c>
      <c r="EK112" s="1">
        <v>0</v>
      </c>
      <c r="EL112" s="1">
        <v>0</v>
      </c>
      <c r="EM112" s="1">
        <v>0</v>
      </c>
      <c r="EN112" s="1">
        <v>1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1</v>
      </c>
      <c r="FB112" s="1">
        <v>1</v>
      </c>
      <c r="FC112" s="1">
        <v>0</v>
      </c>
      <c r="FD112" s="1">
        <v>1</v>
      </c>
      <c r="FE112" s="1">
        <v>1</v>
      </c>
      <c r="FF112" s="1">
        <v>1</v>
      </c>
      <c r="FG112" s="1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 s="1">
        <v>0</v>
      </c>
      <c r="FN112" s="1">
        <v>0</v>
      </c>
      <c r="FO112" s="1">
        <v>0</v>
      </c>
      <c r="FP112" s="1">
        <v>0</v>
      </c>
      <c r="FQ112" s="1">
        <v>1</v>
      </c>
      <c r="FR112" s="1">
        <v>0</v>
      </c>
      <c r="FS112" s="1">
        <v>1</v>
      </c>
      <c r="FT112" s="1">
        <v>1</v>
      </c>
      <c r="FU112" s="1">
        <v>0</v>
      </c>
      <c r="FV112" s="1">
        <v>0</v>
      </c>
      <c r="FW112" s="1">
        <v>0</v>
      </c>
      <c r="FX112" s="1">
        <v>0</v>
      </c>
      <c r="FY112" s="1">
        <v>1</v>
      </c>
      <c r="FZ112" s="1">
        <v>0</v>
      </c>
      <c r="GA112" s="1">
        <v>0</v>
      </c>
      <c r="GB112" s="1">
        <v>0</v>
      </c>
      <c r="GC112" s="1">
        <v>0</v>
      </c>
      <c r="GD112" s="1">
        <v>1</v>
      </c>
      <c r="GE112" s="1">
        <v>0</v>
      </c>
      <c r="GF112" s="1">
        <v>0</v>
      </c>
      <c r="GG112" s="1">
        <v>1</v>
      </c>
      <c r="GH112" s="1">
        <v>0</v>
      </c>
      <c r="GI112" s="1">
        <v>0</v>
      </c>
      <c r="GJ112" s="1">
        <v>1</v>
      </c>
      <c r="GK112" s="1">
        <v>1</v>
      </c>
      <c r="GL112" s="1">
        <v>1</v>
      </c>
      <c r="GM112" s="1">
        <v>0</v>
      </c>
      <c r="GN112" s="1">
        <v>1</v>
      </c>
      <c r="GO112" s="1">
        <v>1</v>
      </c>
      <c r="GP112" s="1">
        <v>0</v>
      </c>
      <c r="GQ112" s="1">
        <v>0</v>
      </c>
      <c r="GR112" s="1">
        <v>0</v>
      </c>
      <c r="GS112" s="1">
        <v>0</v>
      </c>
      <c r="GT112" s="1">
        <v>1</v>
      </c>
      <c r="GU112" s="1">
        <v>1</v>
      </c>
      <c r="GV112" s="1">
        <v>1</v>
      </c>
      <c r="GW112" s="1">
        <v>1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1</v>
      </c>
      <c r="HD112" s="1">
        <v>1</v>
      </c>
      <c r="HE112" s="1">
        <v>0</v>
      </c>
      <c r="HF112" s="1">
        <v>0</v>
      </c>
    </row>
    <row r="113" spans="1:214" x14ac:dyDescent="0.2">
      <c r="A113" s="1" t="s">
        <v>507</v>
      </c>
      <c r="B113" s="1" t="s">
        <v>507</v>
      </c>
      <c r="D113" s="1" t="s">
        <v>508</v>
      </c>
      <c r="E113" s="1" t="s">
        <v>215</v>
      </c>
      <c r="F113" s="1">
        <v>0</v>
      </c>
      <c r="G113" s="1" t="s">
        <v>227</v>
      </c>
      <c r="H113" s="1" t="s">
        <v>233</v>
      </c>
      <c r="I113" s="1" t="s">
        <v>234</v>
      </c>
      <c r="J113" s="1">
        <v>516</v>
      </c>
      <c r="K113" s="1" t="s">
        <v>24</v>
      </c>
      <c r="L113" s="1" t="s">
        <v>389</v>
      </c>
      <c r="M113" s="1" t="s">
        <v>20</v>
      </c>
      <c r="N113" s="1">
        <f>IF(Regions_master[[#This Row],[Forecaster]]=Regions_master[[#Headers],[Grigor]],1,0)</f>
        <v>0</v>
      </c>
      <c r="O113" s="1">
        <f>IF(Regions_master[[#This Row],[Forecaster]]=Regions_master[[#Headers],[Ingo]],1,0)</f>
        <v>0</v>
      </c>
      <c r="P113" s="1">
        <f>IF(Regions_master[[#This Row],[Forecaster]]=Regions_master[[#Headers],[Danyira]],1,0)</f>
        <v>0</v>
      </c>
      <c r="Q113" s="1">
        <f>IF(Regions_master[[#This Row],[Forecaster]]=Regions_master[[#Headers],[Sebastian]],1,0)</f>
        <v>0</v>
      </c>
      <c r="R113" s="1">
        <f>IF(Regions_master[[#This Row],[Forecaster]]=Regions_master[[#Headers],[Yasu]],1,0)</f>
        <v>0</v>
      </c>
      <c r="S113" s="1">
        <f>IF(Regions_master[[#This Row],[Forecaster]]=Regions_master[[#Headers],[Zhenqian]],1,0)</f>
        <v>0</v>
      </c>
      <c r="T113" s="1">
        <f>IF(Regions_master[[#This Row],[Forecaster]]=Regions_master[[#Headers],[Berna]],1,0)</f>
        <v>0</v>
      </c>
      <c r="U113" s="1">
        <f>IF(Regions_master[[#This Row],[Forecaster]]=Regions_master[[#Headers],[Julian]],1,0)</f>
        <v>0</v>
      </c>
      <c r="V113" s="1">
        <f>IF(Regions_master[[#This Row],[Forecaster]]=Regions_master[[#Headers],[Katarzyna]],1,0)</f>
        <v>1</v>
      </c>
      <c r="W113" s="1">
        <v>1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0</v>
      </c>
      <c r="AR113" s="1">
        <v>1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1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1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1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1</v>
      </c>
      <c r="CV113" s="1">
        <v>1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1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1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1</v>
      </c>
      <c r="DQ113" s="1">
        <v>1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0</v>
      </c>
      <c r="EC113" s="1">
        <v>1</v>
      </c>
      <c r="ED113" s="1">
        <v>0</v>
      </c>
      <c r="EE113" s="1">
        <v>0</v>
      </c>
      <c r="EF113" s="1">
        <v>1</v>
      </c>
      <c r="EG113" s="1">
        <v>0</v>
      </c>
      <c r="EH113" s="1">
        <v>0</v>
      </c>
      <c r="EI113" s="1">
        <v>0</v>
      </c>
      <c r="EJ113" s="1">
        <v>0</v>
      </c>
      <c r="EK113" s="1">
        <v>1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1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1</v>
      </c>
      <c r="EY113" s="1">
        <v>0</v>
      </c>
      <c r="EZ113" s="1">
        <v>0</v>
      </c>
      <c r="FA113" s="1">
        <v>0</v>
      </c>
      <c r="FB113" s="1">
        <v>1</v>
      </c>
      <c r="FC113" s="1">
        <v>0</v>
      </c>
      <c r="FD113" s="1">
        <v>1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1</v>
      </c>
      <c r="FK113" s="1">
        <v>1</v>
      </c>
      <c r="FL113" s="1">
        <v>1</v>
      </c>
      <c r="FM113" s="1">
        <v>0</v>
      </c>
      <c r="FN113" s="1">
        <v>0</v>
      </c>
      <c r="FO113" s="1">
        <v>0</v>
      </c>
      <c r="FP113" s="1">
        <v>1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1</v>
      </c>
      <c r="FY113" s="1">
        <v>0</v>
      </c>
      <c r="FZ113" s="1">
        <v>0</v>
      </c>
      <c r="GA113" s="1">
        <v>0</v>
      </c>
      <c r="GB113" s="1">
        <v>0</v>
      </c>
      <c r="GC113" s="1">
        <v>1</v>
      </c>
      <c r="GD113" s="1">
        <v>0</v>
      </c>
      <c r="GE113" s="1">
        <v>0</v>
      </c>
      <c r="GF113" s="1">
        <v>0</v>
      </c>
      <c r="GG113" s="1">
        <v>0</v>
      </c>
      <c r="GH113" s="1">
        <v>1</v>
      </c>
      <c r="GI113" s="1">
        <v>0</v>
      </c>
      <c r="GJ113" s="1">
        <v>1</v>
      </c>
      <c r="GK113" s="1">
        <v>0</v>
      </c>
      <c r="GL113" s="1">
        <v>1</v>
      </c>
      <c r="GM113" s="1">
        <v>0</v>
      </c>
      <c r="GN113" s="1">
        <v>1</v>
      </c>
      <c r="GO113" s="1">
        <v>0</v>
      </c>
      <c r="GP113" s="1">
        <v>0</v>
      </c>
      <c r="GQ113" s="1">
        <v>1</v>
      </c>
      <c r="GR113" s="1">
        <v>0</v>
      </c>
      <c r="GS113" s="1">
        <v>1</v>
      </c>
      <c r="GT113" s="1">
        <v>1</v>
      </c>
      <c r="GU113" s="1">
        <v>1</v>
      </c>
      <c r="GV113" s="1">
        <v>1</v>
      </c>
      <c r="GW113" s="1">
        <v>1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1</v>
      </c>
      <c r="HD113" s="1">
        <v>1</v>
      </c>
      <c r="HE113" s="1">
        <v>0</v>
      </c>
      <c r="HF113" s="1">
        <v>0</v>
      </c>
    </row>
    <row r="114" spans="1:214" x14ac:dyDescent="0.2">
      <c r="A114" s="1" t="s">
        <v>509</v>
      </c>
      <c r="B114" s="1" t="s">
        <v>509</v>
      </c>
      <c r="D114" s="1" t="s">
        <v>510</v>
      </c>
      <c r="E114" s="1" t="s">
        <v>215</v>
      </c>
      <c r="F114" s="1">
        <v>0</v>
      </c>
      <c r="G114" s="1" t="s">
        <v>216</v>
      </c>
      <c r="H114" s="1" t="s">
        <v>217</v>
      </c>
      <c r="I114" s="1" t="s">
        <v>218</v>
      </c>
      <c r="J114" s="1">
        <v>524</v>
      </c>
      <c r="K114" s="1" t="s">
        <v>24</v>
      </c>
      <c r="L114" s="1" t="s">
        <v>219</v>
      </c>
      <c r="M114" s="1" t="s">
        <v>15</v>
      </c>
      <c r="N114" s="1">
        <f>IF(Regions_master[[#This Row],[Forecaster]]=Regions_master[[#Headers],[Grigor]],1,0)</f>
        <v>0</v>
      </c>
      <c r="O114" s="1">
        <f>IF(Regions_master[[#This Row],[Forecaster]]=Regions_master[[#Headers],[Ingo]],1,0)</f>
        <v>0</v>
      </c>
      <c r="P114" s="1">
        <f>IF(Regions_master[[#This Row],[Forecaster]]=Regions_master[[#Headers],[Danyira]],1,0)</f>
        <v>1</v>
      </c>
      <c r="Q114" s="1">
        <f>IF(Regions_master[[#This Row],[Forecaster]]=Regions_master[[#Headers],[Sebastian]],1,0)</f>
        <v>0</v>
      </c>
      <c r="R114" s="1">
        <f>IF(Regions_master[[#This Row],[Forecaster]]=Regions_master[[#Headers],[Yasu]],1,0)</f>
        <v>0</v>
      </c>
      <c r="S114" s="1">
        <f>IF(Regions_master[[#This Row],[Forecaster]]=Regions_master[[#Headers],[Zhenqian]],1,0)</f>
        <v>0</v>
      </c>
      <c r="T114" s="1">
        <f>IF(Regions_master[[#This Row],[Forecaster]]=Regions_master[[#Headers],[Berna]],1,0)</f>
        <v>0</v>
      </c>
      <c r="U114" s="1">
        <f>IF(Regions_master[[#This Row],[Forecaster]]=Regions_master[[#Headers],[Julian]],1,0)</f>
        <v>0</v>
      </c>
      <c r="V114" s="1">
        <f>IF(Regions_master[[#This Row],[Forecaster]]=Regions_master[[#Headers],[Katarzyna]],1,0)</f>
        <v>0</v>
      </c>
      <c r="W114" s="1">
        <v>1</v>
      </c>
      <c r="X114" s="1">
        <v>0</v>
      </c>
      <c r="Y114" s="1">
        <v>0</v>
      </c>
      <c r="Z114" s="1">
        <v>1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1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</v>
      </c>
      <c r="BG114" s="1">
        <v>0</v>
      </c>
      <c r="BH114" s="1">
        <v>1</v>
      </c>
      <c r="BI114" s="1">
        <v>0</v>
      </c>
      <c r="BJ114" s="1">
        <v>0</v>
      </c>
      <c r="BK114" s="1">
        <v>0</v>
      </c>
      <c r="BL114" s="1">
        <v>0</v>
      </c>
      <c r="BM114" s="1">
        <v>1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1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1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1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1</v>
      </c>
      <c r="DD114" s="1">
        <v>0</v>
      </c>
      <c r="DE114" s="1">
        <v>1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1</v>
      </c>
      <c r="DN114" s="1">
        <v>0</v>
      </c>
      <c r="DO114" s="1">
        <v>0</v>
      </c>
      <c r="DP114" s="1">
        <v>1</v>
      </c>
      <c r="DQ114" s="1">
        <v>1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1</v>
      </c>
      <c r="EC114" s="1">
        <v>0</v>
      </c>
      <c r="ED114" s="1">
        <v>1</v>
      </c>
      <c r="EE114" s="1">
        <v>1</v>
      </c>
      <c r="EF114" s="1">
        <v>1</v>
      </c>
      <c r="EG114" s="1">
        <v>0</v>
      </c>
      <c r="EH114" s="1">
        <v>0</v>
      </c>
      <c r="EI114" s="1">
        <v>0</v>
      </c>
      <c r="EJ114" s="1">
        <v>1</v>
      </c>
      <c r="EK114" s="1">
        <v>0</v>
      </c>
      <c r="EL114" s="1">
        <v>0</v>
      </c>
      <c r="EM114" s="1">
        <v>1</v>
      </c>
      <c r="EN114" s="1">
        <v>1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1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1</v>
      </c>
      <c r="FB114" s="1">
        <v>1</v>
      </c>
      <c r="FC114" s="1">
        <v>0</v>
      </c>
      <c r="FD114" s="1">
        <v>1</v>
      </c>
      <c r="FE114" s="1">
        <v>1</v>
      </c>
      <c r="FF114" s="1">
        <v>1</v>
      </c>
      <c r="FG114" s="1">
        <v>1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 s="1">
        <v>0</v>
      </c>
      <c r="FN114" s="1">
        <v>0</v>
      </c>
      <c r="FO114" s="1">
        <v>0</v>
      </c>
      <c r="FP114" s="1">
        <v>0</v>
      </c>
      <c r="FQ114" s="1">
        <v>1</v>
      </c>
      <c r="FR114" s="1">
        <v>1</v>
      </c>
      <c r="FS114" s="1">
        <v>1</v>
      </c>
      <c r="FT114" s="1">
        <v>1</v>
      </c>
      <c r="FU114" s="1">
        <v>0</v>
      </c>
      <c r="FV114" s="1">
        <v>0</v>
      </c>
      <c r="FW114" s="1">
        <v>0</v>
      </c>
      <c r="FX114" s="1">
        <v>0</v>
      </c>
      <c r="FY114" s="1">
        <v>1</v>
      </c>
      <c r="FZ114" s="1">
        <v>0</v>
      </c>
      <c r="GA114" s="1">
        <v>0</v>
      </c>
      <c r="GB114" s="1">
        <v>0</v>
      </c>
      <c r="GC114" s="1">
        <v>0</v>
      </c>
      <c r="GD114" s="1">
        <v>1</v>
      </c>
      <c r="GE114" s="1">
        <v>1</v>
      </c>
      <c r="GF114" s="1">
        <v>0</v>
      </c>
      <c r="GG114" s="1">
        <v>1</v>
      </c>
      <c r="GH114" s="1">
        <v>0</v>
      </c>
      <c r="GI114" s="1">
        <v>0</v>
      </c>
      <c r="GJ114" s="1">
        <v>1</v>
      </c>
      <c r="GK114" s="1">
        <v>0</v>
      </c>
      <c r="GL114" s="1">
        <v>1</v>
      </c>
      <c r="GM114" s="1">
        <v>0</v>
      </c>
      <c r="GN114" s="1">
        <v>1</v>
      </c>
      <c r="GO114" s="1">
        <v>1</v>
      </c>
      <c r="GP114" s="1">
        <v>0</v>
      </c>
      <c r="GQ114" s="1">
        <v>0</v>
      </c>
      <c r="GR114" s="1">
        <v>1</v>
      </c>
      <c r="GS114" s="1">
        <v>0</v>
      </c>
      <c r="GT114" s="1">
        <v>1</v>
      </c>
      <c r="GU114" s="1">
        <v>1</v>
      </c>
      <c r="GV114" s="1">
        <v>1</v>
      </c>
      <c r="GW114" s="1">
        <v>1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1</v>
      </c>
      <c r="HD114" s="1">
        <v>1</v>
      </c>
      <c r="HE114" s="1">
        <v>0</v>
      </c>
      <c r="HF114" s="1">
        <v>0</v>
      </c>
    </row>
    <row r="115" spans="1:214" x14ac:dyDescent="0.2">
      <c r="A115" s="1" t="s">
        <v>511</v>
      </c>
      <c r="B115" s="1" t="s">
        <v>512</v>
      </c>
      <c r="D115" s="1" t="s">
        <v>271</v>
      </c>
      <c r="E115" s="1" t="s">
        <v>215</v>
      </c>
      <c r="F115" s="1">
        <v>0</v>
      </c>
      <c r="G115" s="1" t="s">
        <v>251</v>
      </c>
      <c r="H115" s="1" t="s">
        <v>252</v>
      </c>
      <c r="I115" s="1" t="s">
        <v>253</v>
      </c>
      <c r="J115" s="1">
        <v>528</v>
      </c>
      <c r="K115" s="1" t="s">
        <v>22</v>
      </c>
      <c r="L115" s="1" t="s">
        <v>254</v>
      </c>
      <c r="M115" s="1" t="s">
        <v>14</v>
      </c>
      <c r="N115" s="1">
        <f>IF(Regions_master[[#This Row],[Forecaster]]=Regions_master[[#Headers],[Grigor]],1,0)</f>
        <v>0</v>
      </c>
      <c r="O115" s="1">
        <f>IF(Regions_master[[#This Row],[Forecaster]]=Regions_master[[#Headers],[Ingo]],1,0)</f>
        <v>1</v>
      </c>
      <c r="P115" s="1">
        <f>IF(Regions_master[[#This Row],[Forecaster]]=Regions_master[[#Headers],[Danyira]],1,0)</f>
        <v>0</v>
      </c>
      <c r="Q115" s="1">
        <f>IF(Regions_master[[#This Row],[Forecaster]]=Regions_master[[#Headers],[Sebastian]],1,0)</f>
        <v>0</v>
      </c>
      <c r="R115" s="1">
        <f>IF(Regions_master[[#This Row],[Forecaster]]=Regions_master[[#Headers],[Yasu]],1,0)</f>
        <v>0</v>
      </c>
      <c r="S115" s="1">
        <f>IF(Regions_master[[#This Row],[Forecaster]]=Regions_master[[#Headers],[Zhenqian]],1,0)</f>
        <v>0</v>
      </c>
      <c r="T115" s="1">
        <f>IF(Regions_master[[#This Row],[Forecaster]]=Regions_master[[#Headers],[Berna]],1,0)</f>
        <v>0</v>
      </c>
      <c r="U115" s="1">
        <f>IF(Regions_master[[#This Row],[Forecaster]]=Regions_master[[#Headers],[Julian]],1,0)</f>
        <v>0</v>
      </c>
      <c r="V115" s="1">
        <f>IF(Regions_master[[#This Row],[Forecaster]]=Regions_master[[#Headers],[Katarzyna]],1,0)</f>
        <v>0</v>
      </c>
      <c r="W115" s="1">
        <v>1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1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1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1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1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1</v>
      </c>
      <c r="ED115" s="1">
        <v>0</v>
      </c>
      <c r="EE115" s="1">
        <v>0</v>
      </c>
      <c r="EF115" s="1">
        <v>1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1</v>
      </c>
      <c r="FC115" s="1">
        <v>0</v>
      </c>
      <c r="FD115" s="1">
        <v>1</v>
      </c>
      <c r="FE115" s="1">
        <v>1</v>
      </c>
      <c r="FF115" s="1">
        <v>1</v>
      </c>
      <c r="FG115" s="1">
        <v>1</v>
      </c>
      <c r="FH115" s="1">
        <v>1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1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1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</row>
    <row r="116" spans="1:214" x14ac:dyDescent="0.2">
      <c r="A116" s="1" t="s">
        <v>513</v>
      </c>
      <c r="B116" s="1" t="s">
        <v>514</v>
      </c>
      <c r="D116" s="1" t="s">
        <v>515</v>
      </c>
      <c r="E116" s="1" t="s">
        <v>215</v>
      </c>
      <c r="F116" s="1">
        <v>0</v>
      </c>
      <c r="G116" s="1" t="s">
        <v>248</v>
      </c>
      <c r="H116" s="1" t="s">
        <v>223</v>
      </c>
      <c r="I116" s="1" t="s">
        <v>248</v>
      </c>
      <c r="J116" s="1">
        <v>554</v>
      </c>
      <c r="K116" s="1" t="s">
        <v>22</v>
      </c>
      <c r="L116" s="1" t="s">
        <v>235</v>
      </c>
      <c r="M116" s="1" t="s">
        <v>17</v>
      </c>
      <c r="N116" s="1">
        <f>IF(Regions_master[[#This Row],[Forecaster]]=Regions_master[[#Headers],[Grigor]],1,0)</f>
        <v>0</v>
      </c>
      <c r="O116" s="1">
        <f>IF(Regions_master[[#This Row],[Forecaster]]=Regions_master[[#Headers],[Ingo]],1,0)</f>
        <v>0</v>
      </c>
      <c r="P116" s="1">
        <f>IF(Regions_master[[#This Row],[Forecaster]]=Regions_master[[#Headers],[Danyira]],1,0)</f>
        <v>0</v>
      </c>
      <c r="Q116" s="1">
        <f>IF(Regions_master[[#This Row],[Forecaster]]=Regions_master[[#Headers],[Sebastian]],1,0)</f>
        <v>0</v>
      </c>
      <c r="R116" s="1">
        <f>IF(Regions_master[[#This Row],[Forecaster]]=Regions_master[[#Headers],[Yasu]],1,0)</f>
        <v>1</v>
      </c>
      <c r="S116" s="1">
        <f>IF(Regions_master[[#This Row],[Forecaster]]=Regions_master[[#Headers],[Zhenqian]],1,0)</f>
        <v>0</v>
      </c>
      <c r="T116" s="1">
        <f>IF(Regions_master[[#This Row],[Forecaster]]=Regions_master[[#Headers],[Berna]],1,0)</f>
        <v>0</v>
      </c>
      <c r="U116" s="1">
        <f>IF(Regions_master[[#This Row],[Forecaster]]=Regions_master[[#Headers],[Julian]],1,0)</f>
        <v>0</v>
      </c>
      <c r="V116" s="1">
        <f>IF(Regions_master[[#This Row],[Forecaster]]=Regions_master[[#Headers],[Katarzyna]],1,0)</f>
        <v>0</v>
      </c>
      <c r="W116" s="1">
        <v>1</v>
      </c>
      <c r="X116" s="1">
        <v>1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1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1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1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1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1</v>
      </c>
      <c r="ED116" s="1">
        <v>0</v>
      </c>
      <c r="EE116" s="1">
        <v>0</v>
      </c>
      <c r="EF116" s="1">
        <v>0</v>
      </c>
      <c r="EG116" s="1">
        <v>1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1</v>
      </c>
      <c r="FE116" s="1">
        <v>1</v>
      </c>
      <c r="FF116" s="1">
        <v>1</v>
      </c>
      <c r="FG116" s="1">
        <v>1</v>
      </c>
      <c r="FH116" s="1">
        <v>1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1</v>
      </c>
      <c r="GI116" s="1">
        <v>1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</row>
    <row r="117" spans="1:214" x14ac:dyDescent="0.2">
      <c r="A117" s="1" t="s">
        <v>516</v>
      </c>
      <c r="B117" s="1" t="s">
        <v>516</v>
      </c>
      <c r="D117" s="1" t="s">
        <v>517</v>
      </c>
      <c r="E117" s="1" t="s">
        <v>215</v>
      </c>
      <c r="F117" s="1">
        <v>0</v>
      </c>
      <c r="G117" s="1" t="s">
        <v>238</v>
      </c>
      <c r="H117" s="1" t="s">
        <v>342</v>
      </c>
      <c r="I117" s="1" t="s">
        <v>343</v>
      </c>
      <c r="J117" s="1">
        <v>558</v>
      </c>
      <c r="K117" s="1" t="s">
        <v>24</v>
      </c>
      <c r="L117" s="1" t="s">
        <v>261</v>
      </c>
      <c r="M117" s="1" t="s">
        <v>16</v>
      </c>
      <c r="N117" s="1">
        <f>IF(Regions_master[[#This Row],[Forecaster]]=Regions_master[[#Headers],[Grigor]],1,0)</f>
        <v>0</v>
      </c>
      <c r="O117" s="1">
        <f>IF(Regions_master[[#This Row],[Forecaster]]=Regions_master[[#Headers],[Ingo]],1,0)</f>
        <v>0</v>
      </c>
      <c r="P117" s="1">
        <f>IF(Regions_master[[#This Row],[Forecaster]]=Regions_master[[#Headers],[Danyira]],1,0)</f>
        <v>0</v>
      </c>
      <c r="Q117" s="1">
        <f>IF(Regions_master[[#This Row],[Forecaster]]=Regions_master[[#Headers],[Sebastian]],1,0)</f>
        <v>1</v>
      </c>
      <c r="R117" s="1">
        <f>IF(Regions_master[[#This Row],[Forecaster]]=Regions_master[[#Headers],[Yasu]],1,0)</f>
        <v>0</v>
      </c>
      <c r="S117" s="1">
        <f>IF(Regions_master[[#This Row],[Forecaster]]=Regions_master[[#Headers],[Zhenqian]],1,0)</f>
        <v>0</v>
      </c>
      <c r="T117" s="1">
        <f>IF(Regions_master[[#This Row],[Forecaster]]=Regions_master[[#Headers],[Berna]],1,0)</f>
        <v>0</v>
      </c>
      <c r="U117" s="1">
        <f>IF(Regions_master[[#This Row],[Forecaster]]=Regions_master[[#Headers],[Julian]],1,0)</f>
        <v>0</v>
      </c>
      <c r="V117" s="1">
        <f>IF(Regions_master[[#This Row],[Forecaster]]=Regions_master[[#Headers],[Katarzyna]],1,0)</f>
        <v>0</v>
      </c>
      <c r="W117" s="1">
        <v>1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>
        <v>1</v>
      </c>
      <c r="BB117" s="1">
        <v>0</v>
      </c>
      <c r="BC117" s="1">
        <v>0</v>
      </c>
      <c r="BD117" s="1">
        <v>0</v>
      </c>
      <c r="BE117" s="1">
        <v>0</v>
      </c>
      <c r="BF117" s="1">
        <v>1</v>
      </c>
      <c r="BG117" s="1">
        <v>0</v>
      </c>
      <c r="BH117" s="1">
        <v>0</v>
      </c>
      <c r="BI117" s="1">
        <v>1</v>
      </c>
      <c r="BJ117" s="1">
        <v>1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1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1</v>
      </c>
      <c r="CS117" s="1">
        <v>0</v>
      </c>
      <c r="CT117" s="1">
        <v>0</v>
      </c>
      <c r="CU117" s="1">
        <v>1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1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1</v>
      </c>
      <c r="DQ117" s="1">
        <v>1</v>
      </c>
      <c r="DR117" s="1">
        <v>1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1</v>
      </c>
      <c r="EE117" s="1">
        <v>0</v>
      </c>
      <c r="EF117" s="1">
        <v>1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1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1</v>
      </c>
      <c r="FB117" s="1">
        <v>1</v>
      </c>
      <c r="FC117" s="1">
        <v>0</v>
      </c>
      <c r="FD117" s="1">
        <v>1</v>
      </c>
      <c r="FE117" s="1">
        <v>1</v>
      </c>
      <c r="FF117" s="1">
        <v>1</v>
      </c>
      <c r="FG117" s="1">
        <v>1</v>
      </c>
      <c r="FH117" s="1">
        <v>1</v>
      </c>
      <c r="FI117" s="1">
        <v>1</v>
      </c>
      <c r="FJ117" s="1">
        <v>1</v>
      </c>
      <c r="FK117" s="1">
        <v>1</v>
      </c>
      <c r="FL117" s="1">
        <v>1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1</v>
      </c>
      <c r="FW117" s="1">
        <v>0</v>
      </c>
      <c r="FX117" s="1">
        <v>0</v>
      </c>
      <c r="FY117" s="1">
        <v>0</v>
      </c>
      <c r="FZ117" s="1">
        <v>0</v>
      </c>
      <c r="GA117" s="1">
        <v>1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1</v>
      </c>
      <c r="GH117" s="1">
        <v>0</v>
      </c>
      <c r="GI117" s="1">
        <v>0</v>
      </c>
      <c r="GJ117" s="1">
        <v>1</v>
      </c>
      <c r="GK117" s="1">
        <v>0</v>
      </c>
      <c r="GL117" s="1">
        <v>1</v>
      </c>
      <c r="GM117" s="1">
        <v>0</v>
      </c>
      <c r="GN117" s="1">
        <v>1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1</v>
      </c>
      <c r="GU117" s="1">
        <v>1</v>
      </c>
      <c r="GV117" s="1">
        <v>1</v>
      </c>
      <c r="GW117" s="1">
        <v>1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1</v>
      </c>
      <c r="HD117" s="1">
        <v>1</v>
      </c>
      <c r="HE117" s="1">
        <v>0</v>
      </c>
      <c r="HF117" s="1">
        <v>0</v>
      </c>
    </row>
    <row r="118" spans="1:214" x14ac:dyDescent="0.2">
      <c r="A118" s="1" t="s">
        <v>518</v>
      </c>
      <c r="B118" s="1" t="s">
        <v>518</v>
      </c>
      <c r="D118" s="1" t="s">
        <v>519</v>
      </c>
      <c r="E118" s="1" t="s">
        <v>215</v>
      </c>
      <c r="F118" s="1">
        <v>0</v>
      </c>
      <c r="G118" s="1" t="s">
        <v>227</v>
      </c>
      <c r="H118" s="1" t="s">
        <v>280</v>
      </c>
      <c r="I118" s="1" t="s">
        <v>281</v>
      </c>
      <c r="J118" s="1">
        <v>562</v>
      </c>
      <c r="K118" s="1" t="s">
        <v>24</v>
      </c>
      <c r="L118" s="1" t="s">
        <v>336</v>
      </c>
      <c r="M118" s="1" t="s">
        <v>19</v>
      </c>
      <c r="N118" s="1">
        <f>IF(Regions_master[[#This Row],[Forecaster]]=Regions_master[[#Headers],[Grigor]],1,0)</f>
        <v>0</v>
      </c>
      <c r="O118" s="1">
        <f>IF(Regions_master[[#This Row],[Forecaster]]=Regions_master[[#Headers],[Ingo]],1,0)</f>
        <v>0</v>
      </c>
      <c r="P118" s="1">
        <f>IF(Regions_master[[#This Row],[Forecaster]]=Regions_master[[#Headers],[Danyira]],1,0)</f>
        <v>0</v>
      </c>
      <c r="Q118" s="1">
        <f>IF(Regions_master[[#This Row],[Forecaster]]=Regions_master[[#Headers],[Sebastian]],1,0)</f>
        <v>0</v>
      </c>
      <c r="R118" s="1">
        <f>IF(Regions_master[[#This Row],[Forecaster]]=Regions_master[[#Headers],[Yasu]],1,0)</f>
        <v>0</v>
      </c>
      <c r="S118" s="1">
        <f>IF(Regions_master[[#This Row],[Forecaster]]=Regions_master[[#Headers],[Zhenqian]],1,0)</f>
        <v>0</v>
      </c>
      <c r="T118" s="1">
        <f>IF(Regions_master[[#This Row],[Forecaster]]=Regions_master[[#Headers],[Berna]],1,0)</f>
        <v>0</v>
      </c>
      <c r="U118" s="1">
        <f>IF(Regions_master[[#This Row],[Forecaster]]=Regions_master[[#Headers],[Julian]],1,0)</f>
        <v>1</v>
      </c>
      <c r="V118" s="1">
        <f>IF(Regions_master[[#This Row],[Forecaster]]=Regions_master[[#Headers],[Katarzyna]],1,0)</f>
        <v>0</v>
      </c>
      <c r="W118" s="1">
        <v>1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1</v>
      </c>
      <c r="BH118" s="1">
        <v>1</v>
      </c>
      <c r="BI118" s="1">
        <v>1</v>
      </c>
      <c r="BJ118" s="1">
        <v>1</v>
      </c>
      <c r="BK118" s="1">
        <v>0</v>
      </c>
      <c r="BL118" s="1">
        <v>0</v>
      </c>
      <c r="BM118" s="1">
        <v>1</v>
      </c>
      <c r="BN118" s="1">
        <v>0</v>
      </c>
      <c r="BO118" s="1">
        <v>0</v>
      </c>
      <c r="BP118" s="1">
        <v>0</v>
      </c>
      <c r="BQ118" s="1">
        <v>1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1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1</v>
      </c>
      <c r="CQ118" s="1">
        <v>0</v>
      </c>
      <c r="CR118" s="1">
        <v>0</v>
      </c>
      <c r="CS118" s="1">
        <v>0</v>
      </c>
      <c r="CT118" s="1">
        <v>0</v>
      </c>
      <c r="CU118" s="1">
        <v>1</v>
      </c>
      <c r="CV118" s="1">
        <v>1</v>
      </c>
      <c r="CW118" s="1">
        <v>1</v>
      </c>
      <c r="CX118" s="1">
        <v>0</v>
      </c>
      <c r="CY118" s="1">
        <v>0</v>
      </c>
      <c r="CZ118" s="1">
        <v>0</v>
      </c>
      <c r="DA118" s="1">
        <v>0</v>
      </c>
      <c r="DB118" s="1">
        <v>1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1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1</v>
      </c>
      <c r="DQ118" s="1">
        <v>1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1</v>
      </c>
      <c r="DZ118" s="1">
        <v>0</v>
      </c>
      <c r="EA118" s="1">
        <v>0</v>
      </c>
      <c r="EB118" s="1">
        <v>0</v>
      </c>
      <c r="EC118" s="1">
        <v>1</v>
      </c>
      <c r="ED118" s="1">
        <v>0</v>
      </c>
      <c r="EE118" s="1">
        <v>0</v>
      </c>
      <c r="EF118" s="1">
        <v>0</v>
      </c>
      <c r="EG118" s="1">
        <v>0</v>
      </c>
      <c r="EH118" s="1">
        <v>1</v>
      </c>
      <c r="EI118" s="1">
        <v>0</v>
      </c>
      <c r="EJ118" s="1">
        <v>1</v>
      </c>
      <c r="EK118" s="1">
        <v>1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1</v>
      </c>
      <c r="ER118" s="1">
        <v>0</v>
      </c>
      <c r="ES118" s="1">
        <v>0</v>
      </c>
      <c r="ET118" s="1">
        <v>0</v>
      </c>
      <c r="EU118" s="1">
        <v>1</v>
      </c>
      <c r="EV118" s="1">
        <v>0</v>
      </c>
      <c r="EW118" s="1">
        <v>0</v>
      </c>
      <c r="EX118" s="1">
        <v>1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1</v>
      </c>
      <c r="FE118" s="1">
        <v>1</v>
      </c>
      <c r="FF118" s="1">
        <v>1</v>
      </c>
      <c r="FG118" s="1">
        <v>1</v>
      </c>
      <c r="FH118" s="1">
        <v>1</v>
      </c>
      <c r="FI118" s="1">
        <v>1</v>
      </c>
      <c r="FJ118" s="1">
        <v>1</v>
      </c>
      <c r="FK118" s="1">
        <v>1</v>
      </c>
      <c r="FL118" s="1">
        <v>1</v>
      </c>
      <c r="FM118" s="1">
        <v>0</v>
      </c>
      <c r="FN118" s="1">
        <v>0</v>
      </c>
      <c r="FO118" s="1">
        <v>0</v>
      </c>
      <c r="FP118" s="1">
        <v>1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1</v>
      </c>
      <c r="FY118" s="1">
        <v>0</v>
      </c>
      <c r="FZ118" s="1">
        <v>0</v>
      </c>
      <c r="GA118" s="1">
        <v>0</v>
      </c>
      <c r="GB118" s="1">
        <v>0</v>
      </c>
      <c r="GC118" s="1">
        <v>1</v>
      </c>
      <c r="GD118" s="1">
        <v>0</v>
      </c>
      <c r="GE118" s="1">
        <v>0</v>
      </c>
      <c r="GF118" s="1">
        <v>0</v>
      </c>
      <c r="GG118" s="1">
        <v>0</v>
      </c>
      <c r="GH118" s="1">
        <v>1</v>
      </c>
      <c r="GI118" s="1">
        <v>0</v>
      </c>
      <c r="GJ118" s="1">
        <v>0</v>
      </c>
      <c r="GK118" s="1">
        <v>1</v>
      </c>
      <c r="GL118" s="1">
        <v>0</v>
      </c>
      <c r="GM118" s="1">
        <v>1</v>
      </c>
      <c r="GN118" s="1">
        <v>1</v>
      </c>
      <c r="GO118" s="1">
        <v>1</v>
      </c>
      <c r="GP118" s="1">
        <v>0</v>
      </c>
      <c r="GQ118" s="1">
        <v>1</v>
      </c>
      <c r="GR118" s="1">
        <v>0</v>
      </c>
      <c r="GS118" s="1">
        <v>1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</row>
    <row r="119" spans="1:214" x14ac:dyDescent="0.2">
      <c r="A119" s="1" t="s">
        <v>520</v>
      </c>
      <c r="B119" s="1" t="s">
        <v>520</v>
      </c>
      <c r="D119" s="1" t="s">
        <v>521</v>
      </c>
      <c r="E119" s="1" t="s">
        <v>215</v>
      </c>
      <c r="F119" s="1">
        <v>0</v>
      </c>
      <c r="G119" s="1" t="s">
        <v>227</v>
      </c>
      <c r="H119" s="1" t="s">
        <v>280</v>
      </c>
      <c r="I119" s="1" t="s">
        <v>281</v>
      </c>
      <c r="J119" s="1">
        <v>566</v>
      </c>
      <c r="K119" s="1" t="s">
        <v>24</v>
      </c>
      <c r="L119" s="1" t="s">
        <v>219</v>
      </c>
      <c r="M119" s="1" t="s">
        <v>19</v>
      </c>
      <c r="N119" s="1">
        <f>IF(Regions_master[[#This Row],[Forecaster]]=Regions_master[[#Headers],[Grigor]],1,0)</f>
        <v>0</v>
      </c>
      <c r="O119" s="1">
        <f>IF(Regions_master[[#This Row],[Forecaster]]=Regions_master[[#Headers],[Ingo]],1,0)</f>
        <v>0</v>
      </c>
      <c r="P119" s="1">
        <f>IF(Regions_master[[#This Row],[Forecaster]]=Regions_master[[#Headers],[Danyira]],1,0)</f>
        <v>0</v>
      </c>
      <c r="Q119" s="1">
        <f>IF(Regions_master[[#This Row],[Forecaster]]=Regions_master[[#Headers],[Sebastian]],1,0)</f>
        <v>0</v>
      </c>
      <c r="R119" s="1">
        <f>IF(Regions_master[[#This Row],[Forecaster]]=Regions_master[[#Headers],[Yasu]],1,0)</f>
        <v>0</v>
      </c>
      <c r="S119" s="1">
        <f>IF(Regions_master[[#This Row],[Forecaster]]=Regions_master[[#Headers],[Zhenqian]],1,0)</f>
        <v>0</v>
      </c>
      <c r="T119" s="1">
        <f>IF(Regions_master[[#This Row],[Forecaster]]=Regions_master[[#Headers],[Berna]],1,0)</f>
        <v>0</v>
      </c>
      <c r="U119" s="1">
        <f>IF(Regions_master[[#This Row],[Forecaster]]=Regions_master[[#Headers],[Julian]],1,0)</f>
        <v>1</v>
      </c>
      <c r="V119" s="1">
        <f>IF(Regions_master[[#This Row],[Forecaster]]=Regions_master[[#Headers],[Katarzyna]],1,0)</f>
        <v>0</v>
      </c>
      <c r="W119" s="1">
        <v>1</v>
      </c>
      <c r="X119" s="1">
        <v>0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1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1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1</v>
      </c>
      <c r="CQ119" s="1">
        <v>0</v>
      </c>
      <c r="CR119" s="1">
        <v>0</v>
      </c>
      <c r="CS119" s="1">
        <v>0</v>
      </c>
      <c r="CT119" s="1">
        <v>0</v>
      </c>
      <c r="CU119" s="1">
        <v>1</v>
      </c>
      <c r="CV119" s="1">
        <v>1</v>
      </c>
      <c r="CW119" s="1">
        <v>0</v>
      </c>
      <c r="CX119" s="1">
        <v>0</v>
      </c>
      <c r="CY119" s="1">
        <v>0</v>
      </c>
      <c r="CZ119" s="1">
        <v>0</v>
      </c>
      <c r="DA119" s="1">
        <v>1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1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1</v>
      </c>
      <c r="DQ119" s="1">
        <v>1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1</v>
      </c>
      <c r="DZ119" s="1">
        <v>0</v>
      </c>
      <c r="EA119" s="1">
        <v>0</v>
      </c>
      <c r="EB119" s="1">
        <v>0</v>
      </c>
      <c r="EC119" s="1">
        <v>1</v>
      </c>
      <c r="ED119" s="1">
        <v>0</v>
      </c>
      <c r="EE119" s="1">
        <v>0</v>
      </c>
      <c r="EF119" s="1">
        <v>0</v>
      </c>
      <c r="EG119" s="1">
        <v>0</v>
      </c>
      <c r="EH119" s="1">
        <v>1</v>
      </c>
      <c r="EI119" s="1">
        <v>0</v>
      </c>
      <c r="EJ119" s="1">
        <v>0</v>
      </c>
      <c r="EK119" s="1">
        <v>1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1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1</v>
      </c>
      <c r="EY119" s="1">
        <v>0</v>
      </c>
      <c r="EZ119" s="1">
        <v>0</v>
      </c>
      <c r="FA119" s="1">
        <v>1</v>
      </c>
      <c r="FB119" s="1">
        <v>0</v>
      </c>
      <c r="FC119" s="1">
        <v>0</v>
      </c>
      <c r="FD119" s="1">
        <v>1</v>
      </c>
      <c r="FE119" s="1">
        <v>1</v>
      </c>
      <c r="FF119" s="1">
        <v>1</v>
      </c>
      <c r="FG119" s="1">
        <v>1</v>
      </c>
      <c r="FH119" s="1">
        <v>1</v>
      </c>
      <c r="FI119" s="1">
        <v>1</v>
      </c>
      <c r="FJ119" s="1">
        <v>1</v>
      </c>
      <c r="FK119" s="1">
        <v>1</v>
      </c>
      <c r="FL119" s="1">
        <v>1</v>
      </c>
      <c r="FM119" s="1">
        <v>0</v>
      </c>
      <c r="FN119" s="1">
        <v>0</v>
      </c>
      <c r="FO119" s="1">
        <v>0</v>
      </c>
      <c r="FP119" s="1">
        <v>1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1</v>
      </c>
      <c r="GD119" s="1">
        <v>0</v>
      </c>
      <c r="GE119" s="1">
        <v>0</v>
      </c>
      <c r="GF119" s="1">
        <v>0</v>
      </c>
      <c r="GG119" s="1">
        <v>0</v>
      </c>
      <c r="GH119" s="1">
        <v>1</v>
      </c>
      <c r="GI119" s="1">
        <v>0</v>
      </c>
      <c r="GJ119" s="1">
        <v>0</v>
      </c>
      <c r="GK119" s="1">
        <v>1</v>
      </c>
      <c r="GL119" s="1">
        <v>1</v>
      </c>
      <c r="GM119" s="1">
        <v>0</v>
      </c>
      <c r="GN119" s="1">
        <v>1</v>
      </c>
      <c r="GO119" s="1">
        <v>0</v>
      </c>
      <c r="GP119" s="1">
        <v>0</v>
      </c>
      <c r="GQ119" s="1">
        <v>1</v>
      </c>
      <c r="GR119" s="1">
        <v>0</v>
      </c>
      <c r="GS119" s="1">
        <v>0</v>
      </c>
      <c r="GT119" s="1">
        <v>1</v>
      </c>
      <c r="GU119" s="1">
        <v>1</v>
      </c>
      <c r="GV119" s="1">
        <v>1</v>
      </c>
      <c r="GW119" s="1">
        <v>1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1</v>
      </c>
      <c r="HD119" s="1">
        <v>1</v>
      </c>
      <c r="HE119" s="1">
        <v>0</v>
      </c>
      <c r="HF119" s="1">
        <v>0</v>
      </c>
    </row>
    <row r="120" spans="1:214" x14ac:dyDescent="0.2">
      <c r="A120" s="1" t="s">
        <v>522</v>
      </c>
      <c r="B120" s="1" t="s">
        <v>523</v>
      </c>
      <c r="D120" s="1" t="s">
        <v>524</v>
      </c>
      <c r="E120" s="1" t="s">
        <v>215</v>
      </c>
      <c r="F120" s="1">
        <v>0</v>
      </c>
      <c r="G120" s="1" t="s">
        <v>222</v>
      </c>
      <c r="H120" s="1" t="s">
        <v>223</v>
      </c>
      <c r="I120" s="1" t="s">
        <v>222</v>
      </c>
      <c r="J120" s="1">
        <v>807</v>
      </c>
      <c r="K120" s="1" t="s">
        <v>23</v>
      </c>
      <c r="L120" s="1" t="s">
        <v>254</v>
      </c>
      <c r="M120" s="1" t="s">
        <v>13</v>
      </c>
      <c r="N120" s="1">
        <f>IF(Regions_master[[#This Row],[Forecaster]]=Regions_master[[#Headers],[Grigor]],1,0)</f>
        <v>1</v>
      </c>
      <c r="O120" s="1">
        <f>IF(Regions_master[[#This Row],[Forecaster]]=Regions_master[[#Headers],[Ingo]],1,0)</f>
        <v>0</v>
      </c>
      <c r="P120" s="1">
        <f>IF(Regions_master[[#This Row],[Forecaster]]=Regions_master[[#Headers],[Danyira]],1,0)</f>
        <v>0</v>
      </c>
      <c r="Q120" s="1">
        <f>IF(Regions_master[[#This Row],[Forecaster]]=Regions_master[[#Headers],[Sebastian]],1,0)</f>
        <v>0</v>
      </c>
      <c r="R120" s="1">
        <f>IF(Regions_master[[#This Row],[Forecaster]]=Regions_master[[#Headers],[Yasu]],1,0)</f>
        <v>0</v>
      </c>
      <c r="S120" s="1">
        <f>IF(Regions_master[[#This Row],[Forecaster]]=Regions_master[[#Headers],[Zhenqian]],1,0)</f>
        <v>0</v>
      </c>
      <c r="T120" s="1">
        <f>IF(Regions_master[[#This Row],[Forecaster]]=Regions_master[[#Headers],[Berna]],1,0)</f>
        <v>0</v>
      </c>
      <c r="U120" s="1">
        <f>IF(Regions_master[[#This Row],[Forecaster]]=Regions_master[[#Headers],[Julian]],1,0)</f>
        <v>0</v>
      </c>
      <c r="V120" s="1">
        <f>IF(Regions_master[[#This Row],[Forecaster]]=Regions_master[[#Headers],[Katarzyna]],1,0)</f>
        <v>0</v>
      </c>
      <c r="W120" s="1">
        <v>1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1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1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1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1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1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1</v>
      </c>
      <c r="EE120" s="1">
        <v>0</v>
      </c>
      <c r="EF120" s="1">
        <v>1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1</v>
      </c>
      <c r="ET120" s="1">
        <v>0</v>
      </c>
      <c r="EU120" s="1">
        <v>1</v>
      </c>
      <c r="EV120" s="1">
        <v>0</v>
      </c>
      <c r="EW120" s="1">
        <v>0</v>
      </c>
      <c r="EX120" s="1">
        <v>0</v>
      </c>
      <c r="EY120" s="1">
        <v>0</v>
      </c>
      <c r="EZ120" s="1">
        <v>1</v>
      </c>
      <c r="FA120" s="1">
        <v>1</v>
      </c>
      <c r="FB120" s="1">
        <v>1</v>
      </c>
      <c r="FC120" s="1">
        <v>0</v>
      </c>
      <c r="FD120" s="1">
        <v>1</v>
      </c>
      <c r="FE120" s="1">
        <v>1</v>
      </c>
      <c r="FF120" s="1">
        <v>1</v>
      </c>
      <c r="FG120" s="1">
        <v>1</v>
      </c>
      <c r="FH120" s="1">
        <v>1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1</v>
      </c>
      <c r="GH120" s="1">
        <v>0</v>
      </c>
      <c r="GI120" s="1">
        <v>0</v>
      </c>
      <c r="GJ120" s="1">
        <v>1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1</v>
      </c>
      <c r="GU120" s="1">
        <v>1</v>
      </c>
      <c r="GV120" s="1">
        <v>1</v>
      </c>
      <c r="GW120" s="1">
        <v>1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1</v>
      </c>
      <c r="HD120" s="1">
        <v>1</v>
      </c>
      <c r="HE120" s="1">
        <v>1</v>
      </c>
      <c r="HF120" s="1">
        <v>0</v>
      </c>
    </row>
    <row r="121" spans="1:214" x14ac:dyDescent="0.2">
      <c r="A121" s="1" t="s">
        <v>525</v>
      </c>
      <c r="B121" s="1" t="s">
        <v>525</v>
      </c>
      <c r="D121" s="1" t="s">
        <v>326</v>
      </c>
      <c r="E121" s="1" t="s">
        <v>215</v>
      </c>
      <c r="F121" s="1">
        <v>0</v>
      </c>
      <c r="G121" s="1" t="s">
        <v>251</v>
      </c>
      <c r="H121" s="1" t="s">
        <v>427</v>
      </c>
      <c r="I121" s="1" t="s">
        <v>428</v>
      </c>
      <c r="J121" s="1">
        <v>578</v>
      </c>
      <c r="K121" s="1" t="s">
        <v>22</v>
      </c>
      <c r="L121" s="1" t="s">
        <v>526</v>
      </c>
      <c r="M121" s="1" t="s">
        <v>14</v>
      </c>
      <c r="N121" s="1">
        <f>IF(Regions_master[[#This Row],[Forecaster]]=Regions_master[[#Headers],[Grigor]],1,0)</f>
        <v>0</v>
      </c>
      <c r="O121" s="1">
        <f>IF(Regions_master[[#This Row],[Forecaster]]=Regions_master[[#Headers],[Ingo]],1,0)</f>
        <v>1</v>
      </c>
      <c r="P121" s="1">
        <f>IF(Regions_master[[#This Row],[Forecaster]]=Regions_master[[#Headers],[Danyira]],1,0)</f>
        <v>0</v>
      </c>
      <c r="Q121" s="1">
        <f>IF(Regions_master[[#This Row],[Forecaster]]=Regions_master[[#Headers],[Sebastian]],1,0)</f>
        <v>0</v>
      </c>
      <c r="R121" s="1">
        <f>IF(Regions_master[[#This Row],[Forecaster]]=Regions_master[[#Headers],[Yasu]],1,0)</f>
        <v>0</v>
      </c>
      <c r="S121" s="1">
        <f>IF(Regions_master[[#This Row],[Forecaster]]=Regions_master[[#Headers],[Zhenqian]],1,0)</f>
        <v>0</v>
      </c>
      <c r="T121" s="1">
        <f>IF(Regions_master[[#This Row],[Forecaster]]=Regions_master[[#Headers],[Berna]],1,0)</f>
        <v>0</v>
      </c>
      <c r="U121" s="1">
        <f>IF(Regions_master[[#This Row],[Forecaster]]=Regions_master[[#Headers],[Julian]],1,0)</f>
        <v>0</v>
      </c>
      <c r="V121" s="1">
        <f>IF(Regions_master[[#This Row],[Forecaster]]=Regions_master[[#Headers],[Katarzyna]],1,0)</f>
        <v>0</v>
      </c>
      <c r="W121" s="1">
        <v>1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1</v>
      </c>
      <c r="AK121" s="1">
        <v>1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</v>
      </c>
      <c r="BD121" s="1">
        <v>1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1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1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1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1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1</v>
      </c>
      <c r="ED121" s="1">
        <v>0</v>
      </c>
      <c r="EE121" s="1">
        <v>0</v>
      </c>
      <c r="EF121" s="1">
        <v>0</v>
      </c>
      <c r="EG121" s="1">
        <v>0</v>
      </c>
      <c r="EH121" s="1">
        <v>1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1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1</v>
      </c>
      <c r="FE121" s="1">
        <v>1</v>
      </c>
      <c r="FF121" s="1">
        <v>1</v>
      </c>
      <c r="FG121" s="1">
        <v>1</v>
      </c>
      <c r="FH121" s="1">
        <v>1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1</v>
      </c>
      <c r="GI121" s="1">
        <v>0</v>
      </c>
      <c r="GJ121" s="1">
        <v>0</v>
      </c>
      <c r="GK121" s="1">
        <v>1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</row>
    <row r="122" spans="1:214" x14ac:dyDescent="0.2">
      <c r="A122" s="1" t="s">
        <v>527</v>
      </c>
      <c r="B122" s="1" t="s">
        <v>527</v>
      </c>
      <c r="D122" s="1" t="s">
        <v>528</v>
      </c>
      <c r="E122" s="1" t="s">
        <v>215</v>
      </c>
      <c r="F122" s="1">
        <v>0</v>
      </c>
      <c r="G122" s="1" t="s">
        <v>216</v>
      </c>
      <c r="H122" s="1" t="s">
        <v>264</v>
      </c>
      <c r="I122" s="1" t="s">
        <v>265</v>
      </c>
      <c r="J122" s="1">
        <v>512</v>
      </c>
      <c r="K122" s="1" t="s">
        <v>24</v>
      </c>
      <c r="L122" s="1" t="s">
        <v>235</v>
      </c>
      <c r="M122" s="1" t="s">
        <v>18</v>
      </c>
      <c r="N122" s="1">
        <f>IF(Regions_master[[#This Row],[Forecaster]]=Regions_master[[#Headers],[Grigor]],1,0)</f>
        <v>0</v>
      </c>
      <c r="O122" s="1">
        <f>IF(Regions_master[[#This Row],[Forecaster]]=Regions_master[[#Headers],[Ingo]],1,0)</f>
        <v>0</v>
      </c>
      <c r="P122" s="1">
        <f>IF(Regions_master[[#This Row],[Forecaster]]=Regions_master[[#Headers],[Danyira]],1,0)</f>
        <v>0</v>
      </c>
      <c r="Q122" s="1">
        <f>IF(Regions_master[[#This Row],[Forecaster]]=Regions_master[[#Headers],[Sebastian]],1,0)</f>
        <v>0</v>
      </c>
      <c r="R122" s="1">
        <f>IF(Regions_master[[#This Row],[Forecaster]]=Regions_master[[#Headers],[Yasu]],1,0)</f>
        <v>0</v>
      </c>
      <c r="S122" s="1">
        <f>IF(Regions_master[[#This Row],[Forecaster]]=Regions_master[[#Headers],[Zhenqian]],1,0)</f>
        <v>0</v>
      </c>
      <c r="T122" s="1">
        <f>IF(Regions_master[[#This Row],[Forecaster]]=Regions_master[[#Headers],[Berna]],1,0)</f>
        <v>1</v>
      </c>
      <c r="U122" s="1">
        <f>IF(Regions_master[[#This Row],[Forecaster]]=Regions_master[[#Headers],[Julian]],1,0)</f>
        <v>0</v>
      </c>
      <c r="V122" s="1">
        <f>IF(Regions_master[[#This Row],[Forecaster]]=Regions_master[[#Headers],[Katarzyna]],1,0)</f>
        <v>0</v>
      </c>
      <c r="W122" s="1">
        <v>1</v>
      </c>
      <c r="X122" s="1">
        <v>0</v>
      </c>
      <c r="Y122" s="1">
        <v>0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</v>
      </c>
      <c r="AU122" s="1">
        <v>0</v>
      </c>
      <c r="AV122" s="1">
        <v>0</v>
      </c>
      <c r="AW122" s="1">
        <v>0</v>
      </c>
      <c r="AX122" s="1">
        <v>1</v>
      </c>
      <c r="AY122" s="1">
        <v>0</v>
      </c>
      <c r="AZ122" s="1">
        <v>0</v>
      </c>
      <c r="BA122" s="1">
        <v>0</v>
      </c>
      <c r="BB122" s="1">
        <v>0</v>
      </c>
      <c r="BC122" s="1">
        <v>1</v>
      </c>
      <c r="BD122" s="1">
        <v>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1</v>
      </c>
      <c r="BO122" s="1">
        <v>0</v>
      </c>
      <c r="BP122" s="1">
        <v>0</v>
      </c>
      <c r="BQ122" s="1">
        <v>0</v>
      </c>
      <c r="BR122" s="1">
        <v>0</v>
      </c>
      <c r="BS122" s="1">
        <v>1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1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1</v>
      </c>
      <c r="CV122" s="1">
        <v>1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1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1</v>
      </c>
      <c r="DO122" s="1">
        <v>0</v>
      </c>
      <c r="DP122" s="1">
        <v>1</v>
      </c>
      <c r="DQ122" s="1">
        <v>1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1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1</v>
      </c>
      <c r="EE122" s="1">
        <v>0</v>
      </c>
      <c r="EF122" s="1">
        <v>0</v>
      </c>
      <c r="EG122" s="1">
        <v>0</v>
      </c>
      <c r="EH122" s="1">
        <v>1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1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1</v>
      </c>
      <c r="EY122" s="1">
        <v>0</v>
      </c>
      <c r="EZ122" s="1">
        <v>0</v>
      </c>
      <c r="FA122" s="1">
        <v>1</v>
      </c>
      <c r="FB122" s="1">
        <v>0</v>
      </c>
      <c r="FC122" s="1">
        <v>0</v>
      </c>
      <c r="FD122" s="1">
        <v>1</v>
      </c>
      <c r="FE122" s="1">
        <v>1</v>
      </c>
      <c r="FF122" s="1">
        <v>1</v>
      </c>
      <c r="FG122" s="1">
        <v>1</v>
      </c>
      <c r="FH122" s="1">
        <v>1</v>
      </c>
      <c r="FI122" s="1">
        <v>1</v>
      </c>
      <c r="FJ122" s="1">
        <v>1</v>
      </c>
      <c r="FK122" s="1">
        <v>1</v>
      </c>
      <c r="FL122" s="1">
        <v>1</v>
      </c>
      <c r="FM122" s="1">
        <v>0</v>
      </c>
      <c r="FN122" s="1">
        <v>0</v>
      </c>
      <c r="FO122" s="1">
        <v>0</v>
      </c>
      <c r="FP122" s="1">
        <v>0</v>
      </c>
      <c r="FQ122" s="1">
        <v>1</v>
      </c>
      <c r="FR122" s="1">
        <v>0</v>
      </c>
      <c r="FS122" s="1">
        <v>0</v>
      </c>
      <c r="FT122" s="1">
        <v>0</v>
      </c>
      <c r="FU122" s="1">
        <v>1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1</v>
      </c>
      <c r="GE122" s="1">
        <v>0</v>
      </c>
      <c r="GF122" s="1">
        <v>1</v>
      </c>
      <c r="GG122" s="1">
        <v>1</v>
      </c>
      <c r="GH122" s="1">
        <v>1</v>
      </c>
      <c r="GI122" s="1">
        <v>0</v>
      </c>
      <c r="GJ122" s="1">
        <v>0</v>
      </c>
      <c r="GK122" s="1">
        <v>1</v>
      </c>
      <c r="GL122" s="1">
        <v>0</v>
      </c>
      <c r="GM122" s="1">
        <v>0</v>
      </c>
      <c r="GN122" s="1">
        <v>1</v>
      </c>
      <c r="GO122" s="1">
        <v>0</v>
      </c>
      <c r="GP122" s="1">
        <v>1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</row>
    <row r="123" spans="1:214" x14ac:dyDescent="0.2">
      <c r="A123" s="1" t="s">
        <v>529</v>
      </c>
      <c r="B123" s="1" t="s">
        <v>529</v>
      </c>
      <c r="D123" s="1" t="s">
        <v>530</v>
      </c>
      <c r="E123" s="1" t="s">
        <v>215</v>
      </c>
      <c r="F123" s="1">
        <v>0</v>
      </c>
      <c r="G123" s="1" t="s">
        <v>216</v>
      </c>
      <c r="H123" s="1" t="s">
        <v>217</v>
      </c>
      <c r="I123" s="1" t="s">
        <v>218</v>
      </c>
      <c r="J123" s="1">
        <v>586</v>
      </c>
      <c r="K123" s="1" t="s">
        <v>24</v>
      </c>
      <c r="L123" s="1" t="s">
        <v>261</v>
      </c>
      <c r="M123" s="1" t="s">
        <v>15</v>
      </c>
      <c r="N123" s="1">
        <f>IF(Regions_master[[#This Row],[Forecaster]]=Regions_master[[#Headers],[Grigor]],1,0)</f>
        <v>0</v>
      </c>
      <c r="O123" s="1">
        <f>IF(Regions_master[[#This Row],[Forecaster]]=Regions_master[[#Headers],[Ingo]],1,0)</f>
        <v>0</v>
      </c>
      <c r="P123" s="1">
        <f>IF(Regions_master[[#This Row],[Forecaster]]=Regions_master[[#Headers],[Danyira]],1,0)</f>
        <v>1</v>
      </c>
      <c r="Q123" s="1">
        <f>IF(Regions_master[[#This Row],[Forecaster]]=Regions_master[[#Headers],[Sebastian]],1,0)</f>
        <v>0</v>
      </c>
      <c r="R123" s="1">
        <f>IF(Regions_master[[#This Row],[Forecaster]]=Regions_master[[#Headers],[Yasu]],1,0)</f>
        <v>0</v>
      </c>
      <c r="S123" s="1">
        <f>IF(Regions_master[[#This Row],[Forecaster]]=Regions_master[[#Headers],[Zhenqian]],1,0)</f>
        <v>0</v>
      </c>
      <c r="T123" s="1">
        <f>IF(Regions_master[[#This Row],[Forecaster]]=Regions_master[[#Headers],[Berna]],1,0)</f>
        <v>0</v>
      </c>
      <c r="U123" s="1">
        <f>IF(Regions_master[[#This Row],[Forecaster]]=Regions_master[[#Headers],[Julian]],1,0)</f>
        <v>0</v>
      </c>
      <c r="V123" s="1">
        <f>IF(Regions_master[[#This Row],[Forecaster]]=Regions_master[[#Headers],[Katarzyna]],1,0)</f>
        <v>0</v>
      </c>
      <c r="W123" s="1">
        <v>1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1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1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1</v>
      </c>
      <c r="DD123" s="1">
        <v>0</v>
      </c>
      <c r="DE123" s="1">
        <v>1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1</v>
      </c>
      <c r="DN123" s="1">
        <v>0</v>
      </c>
      <c r="DO123" s="1">
        <v>0</v>
      </c>
      <c r="DP123" s="1">
        <v>1</v>
      </c>
      <c r="DQ123" s="1">
        <v>1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1</v>
      </c>
      <c r="EC123" s="1">
        <v>0</v>
      </c>
      <c r="ED123" s="1">
        <v>1</v>
      </c>
      <c r="EE123" s="1">
        <v>0</v>
      </c>
      <c r="EF123" s="1">
        <v>1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1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1</v>
      </c>
      <c r="FB123" s="1">
        <v>1</v>
      </c>
      <c r="FC123" s="1">
        <v>0</v>
      </c>
      <c r="FD123" s="1">
        <v>1</v>
      </c>
      <c r="FE123" s="1">
        <v>1</v>
      </c>
      <c r="FF123" s="1">
        <v>1</v>
      </c>
      <c r="FG123" s="1">
        <v>1</v>
      </c>
      <c r="FH123" s="1">
        <v>1</v>
      </c>
      <c r="FI123" s="1">
        <v>1</v>
      </c>
      <c r="FJ123" s="1">
        <v>1</v>
      </c>
      <c r="FK123" s="1">
        <v>1</v>
      </c>
      <c r="FL123" s="1">
        <v>1</v>
      </c>
      <c r="FM123" s="1">
        <v>0</v>
      </c>
      <c r="FN123" s="1">
        <v>0</v>
      </c>
      <c r="FO123" s="1">
        <v>0</v>
      </c>
      <c r="FP123" s="1">
        <v>0</v>
      </c>
      <c r="FQ123" s="1">
        <v>1</v>
      </c>
      <c r="FR123" s="1">
        <v>1</v>
      </c>
      <c r="FS123" s="1">
        <v>1</v>
      </c>
      <c r="FT123" s="1">
        <v>1</v>
      </c>
      <c r="FU123" s="1">
        <v>0</v>
      </c>
      <c r="FV123" s="1">
        <v>0</v>
      </c>
      <c r="FW123" s="1">
        <v>0</v>
      </c>
      <c r="FX123" s="1">
        <v>0</v>
      </c>
      <c r="FY123" s="1">
        <v>1</v>
      </c>
      <c r="FZ123" s="1">
        <v>0</v>
      </c>
      <c r="GA123" s="1">
        <v>0</v>
      </c>
      <c r="GB123" s="1">
        <v>0</v>
      </c>
      <c r="GC123" s="1">
        <v>0</v>
      </c>
      <c r="GD123" s="1">
        <v>1</v>
      </c>
      <c r="GE123" s="1">
        <v>1</v>
      </c>
      <c r="GF123" s="1">
        <v>0</v>
      </c>
      <c r="GG123" s="1">
        <v>1</v>
      </c>
      <c r="GH123" s="1">
        <v>0</v>
      </c>
      <c r="GI123" s="1">
        <v>0</v>
      </c>
      <c r="GJ123" s="1">
        <v>1</v>
      </c>
      <c r="GK123" s="1">
        <v>0</v>
      </c>
      <c r="GL123" s="1">
        <v>1</v>
      </c>
      <c r="GM123" s="1">
        <v>0</v>
      </c>
      <c r="GN123" s="1">
        <v>1</v>
      </c>
      <c r="GO123" s="1">
        <v>0</v>
      </c>
      <c r="GP123" s="1">
        <v>0</v>
      </c>
      <c r="GQ123" s="1">
        <v>0</v>
      </c>
      <c r="GR123" s="1">
        <v>1</v>
      </c>
      <c r="GS123" s="1">
        <v>0</v>
      </c>
      <c r="GT123" s="1">
        <v>1</v>
      </c>
      <c r="GU123" s="1">
        <v>1</v>
      </c>
      <c r="GV123" s="1">
        <v>1</v>
      </c>
      <c r="GW123" s="1">
        <v>1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1</v>
      </c>
      <c r="HD123" s="1">
        <v>1</v>
      </c>
      <c r="HE123" s="1">
        <v>0</v>
      </c>
      <c r="HF123" s="1">
        <v>1</v>
      </c>
    </row>
    <row r="124" spans="1:214" x14ac:dyDescent="0.2">
      <c r="A124" s="1" t="s">
        <v>531</v>
      </c>
      <c r="B124" s="1" t="s">
        <v>531</v>
      </c>
      <c r="D124" s="1" t="s">
        <v>532</v>
      </c>
      <c r="E124" s="1" t="s">
        <v>215</v>
      </c>
      <c r="F124" s="1">
        <v>0</v>
      </c>
      <c r="G124" s="1" t="s">
        <v>238</v>
      </c>
      <c r="H124" s="1" t="s">
        <v>342</v>
      </c>
      <c r="I124" s="1" t="s">
        <v>343</v>
      </c>
      <c r="J124" s="1">
        <v>591</v>
      </c>
      <c r="K124" s="1" t="s">
        <v>24</v>
      </c>
      <c r="L124" s="1" t="s">
        <v>261</v>
      </c>
      <c r="M124" s="1" t="s">
        <v>16</v>
      </c>
      <c r="N124" s="1">
        <f>IF(Regions_master[[#This Row],[Forecaster]]=Regions_master[[#Headers],[Grigor]],1,0)</f>
        <v>0</v>
      </c>
      <c r="O124" s="1">
        <f>IF(Regions_master[[#This Row],[Forecaster]]=Regions_master[[#Headers],[Ingo]],1,0)</f>
        <v>0</v>
      </c>
      <c r="P124" s="1">
        <f>IF(Regions_master[[#This Row],[Forecaster]]=Regions_master[[#Headers],[Danyira]],1,0)</f>
        <v>0</v>
      </c>
      <c r="Q124" s="1">
        <f>IF(Regions_master[[#This Row],[Forecaster]]=Regions_master[[#Headers],[Sebastian]],1,0)</f>
        <v>1</v>
      </c>
      <c r="R124" s="1">
        <f>IF(Regions_master[[#This Row],[Forecaster]]=Regions_master[[#Headers],[Yasu]],1,0)</f>
        <v>0</v>
      </c>
      <c r="S124" s="1">
        <f>IF(Regions_master[[#This Row],[Forecaster]]=Regions_master[[#Headers],[Zhenqian]],1,0)</f>
        <v>0</v>
      </c>
      <c r="T124" s="1">
        <f>IF(Regions_master[[#This Row],[Forecaster]]=Regions_master[[#Headers],[Berna]],1,0)</f>
        <v>0</v>
      </c>
      <c r="U124" s="1">
        <f>IF(Regions_master[[#This Row],[Forecaster]]=Regions_master[[#Headers],[Julian]],1,0)</f>
        <v>0</v>
      </c>
      <c r="V124" s="1">
        <f>IF(Regions_master[[#This Row],[Forecaster]]=Regions_master[[#Headers],[Katarzyna]],1,0)</f>
        <v>0</v>
      </c>
      <c r="W124" s="1">
        <v>1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1</v>
      </c>
      <c r="AZ124" s="1">
        <v>0</v>
      </c>
      <c r="BA124" s="1">
        <v>1</v>
      </c>
      <c r="BB124" s="1">
        <v>0</v>
      </c>
      <c r="BC124" s="1">
        <v>0</v>
      </c>
      <c r="BD124" s="1">
        <v>1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1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1</v>
      </c>
      <c r="CS124" s="1">
        <v>0</v>
      </c>
      <c r="CT124" s="1">
        <v>0</v>
      </c>
      <c r="CU124" s="1">
        <v>1</v>
      </c>
      <c r="CV124" s="1">
        <v>1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1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1</v>
      </c>
      <c r="DQ124" s="1">
        <v>1</v>
      </c>
      <c r="DR124" s="1">
        <v>1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1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1</v>
      </c>
      <c r="EP124" s="1">
        <v>0</v>
      </c>
      <c r="EQ124" s="1">
        <v>0</v>
      </c>
      <c r="ER124" s="1">
        <v>1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1</v>
      </c>
      <c r="EY124" s="1">
        <v>0</v>
      </c>
      <c r="EZ124" s="1">
        <v>0</v>
      </c>
      <c r="FA124" s="1">
        <v>1</v>
      </c>
      <c r="FB124" s="1">
        <v>0</v>
      </c>
      <c r="FC124" s="1">
        <v>0</v>
      </c>
      <c r="FD124" s="1">
        <v>1</v>
      </c>
      <c r="FE124" s="1">
        <v>1</v>
      </c>
      <c r="FF124" s="1">
        <v>1</v>
      </c>
      <c r="FG124" s="1">
        <v>1</v>
      </c>
      <c r="FH124" s="1">
        <v>1</v>
      </c>
      <c r="FI124" s="1">
        <v>1</v>
      </c>
      <c r="FJ124" s="1">
        <v>1</v>
      </c>
      <c r="FK124" s="1">
        <v>1</v>
      </c>
      <c r="FL124" s="1">
        <v>1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1</v>
      </c>
      <c r="FW124" s="1">
        <v>0</v>
      </c>
      <c r="FX124" s="1">
        <v>0</v>
      </c>
      <c r="FY124" s="1">
        <v>0</v>
      </c>
      <c r="FZ124" s="1">
        <v>0</v>
      </c>
      <c r="GA124" s="1">
        <v>1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1</v>
      </c>
      <c r="GH124" s="1">
        <v>1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1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</row>
    <row r="125" spans="1:214" x14ac:dyDescent="0.2">
      <c r="A125" s="1" t="s">
        <v>533</v>
      </c>
      <c r="B125" s="1" t="s">
        <v>534</v>
      </c>
      <c r="D125" s="1" t="s">
        <v>535</v>
      </c>
      <c r="E125" s="1" t="s">
        <v>215</v>
      </c>
      <c r="F125" s="1">
        <v>0</v>
      </c>
      <c r="G125" s="1" t="s">
        <v>216</v>
      </c>
      <c r="H125" s="1" t="s">
        <v>296</v>
      </c>
      <c r="I125" s="1" t="s">
        <v>297</v>
      </c>
      <c r="J125" s="1">
        <v>598</v>
      </c>
      <c r="K125" s="1" t="s">
        <v>24</v>
      </c>
      <c r="L125" s="1" t="s">
        <v>247</v>
      </c>
      <c r="M125" s="1" t="s">
        <v>15</v>
      </c>
      <c r="N125" s="1">
        <f>IF(Regions_master[[#This Row],[Forecaster]]=Regions_master[[#Headers],[Grigor]],1,0)</f>
        <v>0</v>
      </c>
      <c r="O125" s="1">
        <f>IF(Regions_master[[#This Row],[Forecaster]]=Regions_master[[#Headers],[Ingo]],1,0)</f>
        <v>0</v>
      </c>
      <c r="P125" s="1">
        <f>IF(Regions_master[[#This Row],[Forecaster]]=Regions_master[[#Headers],[Danyira]],1,0)</f>
        <v>1</v>
      </c>
      <c r="Q125" s="1">
        <f>IF(Regions_master[[#This Row],[Forecaster]]=Regions_master[[#Headers],[Sebastian]],1,0)</f>
        <v>0</v>
      </c>
      <c r="R125" s="1">
        <f>IF(Regions_master[[#This Row],[Forecaster]]=Regions_master[[#Headers],[Yasu]],1,0)</f>
        <v>0</v>
      </c>
      <c r="S125" s="1">
        <f>IF(Regions_master[[#This Row],[Forecaster]]=Regions_master[[#Headers],[Zhenqian]],1,0)</f>
        <v>0</v>
      </c>
      <c r="T125" s="1">
        <f>IF(Regions_master[[#This Row],[Forecaster]]=Regions_master[[#Headers],[Berna]],1,0)</f>
        <v>0</v>
      </c>
      <c r="U125" s="1">
        <f>IF(Regions_master[[#This Row],[Forecaster]]=Regions_master[[#Headers],[Julian]],1,0)</f>
        <v>0</v>
      </c>
      <c r="V125" s="1">
        <f>IF(Regions_master[[#This Row],[Forecaster]]=Regions_master[[#Headers],[Katarzyna]],1,0)</f>
        <v>0</v>
      </c>
      <c r="W125" s="1">
        <v>1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</v>
      </c>
      <c r="AU125" s="1">
        <v>1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  <c r="BD125" s="1">
        <v>0</v>
      </c>
      <c r="BE125" s="1">
        <v>0</v>
      </c>
      <c r="BF125" s="1">
        <v>1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1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1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1</v>
      </c>
      <c r="CV125" s="1">
        <v>1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1</v>
      </c>
      <c r="DD125" s="1">
        <v>1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1</v>
      </c>
      <c r="DM125" s="1">
        <v>0</v>
      </c>
      <c r="DN125" s="1">
        <v>0</v>
      </c>
      <c r="DO125" s="1">
        <v>0</v>
      </c>
      <c r="DP125" s="1">
        <v>1</v>
      </c>
      <c r="DQ125" s="1">
        <v>1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1</v>
      </c>
      <c r="EE125" s="1">
        <v>0</v>
      </c>
      <c r="EF125" s="1">
        <v>0</v>
      </c>
      <c r="EG125" s="1">
        <v>0</v>
      </c>
      <c r="EH125" s="1">
        <v>1</v>
      </c>
      <c r="EI125" s="1">
        <v>1</v>
      </c>
      <c r="EJ125" s="1">
        <v>0</v>
      </c>
      <c r="EK125" s="1">
        <v>0</v>
      </c>
      <c r="EL125" s="1">
        <v>0</v>
      </c>
      <c r="EM125" s="1">
        <v>0</v>
      </c>
      <c r="EN125" s="1">
        <v>1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1</v>
      </c>
      <c r="EY125" s="1">
        <v>0</v>
      </c>
      <c r="EZ125" s="1">
        <v>0</v>
      </c>
      <c r="FA125" s="1">
        <v>1</v>
      </c>
      <c r="FB125" s="1">
        <v>0</v>
      </c>
      <c r="FC125" s="1">
        <v>0</v>
      </c>
      <c r="FD125" s="1">
        <v>1</v>
      </c>
      <c r="FE125" s="1">
        <v>1</v>
      </c>
      <c r="FF125" s="1">
        <v>1</v>
      </c>
      <c r="FG125" s="1">
        <v>1</v>
      </c>
      <c r="FH125" s="1">
        <v>1</v>
      </c>
      <c r="FI125" s="1">
        <v>1</v>
      </c>
      <c r="FJ125" s="1">
        <v>1</v>
      </c>
      <c r="FK125" s="1">
        <v>1</v>
      </c>
      <c r="FL125" s="1">
        <v>1</v>
      </c>
      <c r="FM125" s="1">
        <v>0</v>
      </c>
      <c r="FN125" s="1">
        <v>0</v>
      </c>
      <c r="FO125" s="1">
        <v>0</v>
      </c>
      <c r="FP125" s="1">
        <v>0</v>
      </c>
      <c r="FQ125" s="1">
        <v>1</v>
      </c>
      <c r="FR125" s="1">
        <v>0</v>
      </c>
      <c r="FS125" s="1">
        <v>1</v>
      </c>
      <c r="FT125" s="1">
        <v>1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1</v>
      </c>
      <c r="GH125" s="1">
        <v>1</v>
      </c>
      <c r="GI125" s="1">
        <v>0</v>
      </c>
      <c r="GJ125" s="1">
        <v>0</v>
      </c>
      <c r="GK125" s="1">
        <v>1</v>
      </c>
      <c r="GL125" s="1">
        <v>1</v>
      </c>
      <c r="GM125" s="1">
        <v>0</v>
      </c>
      <c r="GN125" s="1">
        <v>1</v>
      </c>
      <c r="GO125" s="1">
        <v>0</v>
      </c>
      <c r="GP125" s="1">
        <v>0</v>
      </c>
      <c r="GQ125" s="1">
        <v>0</v>
      </c>
      <c r="GR125" s="1">
        <v>0</v>
      </c>
      <c r="GS125" s="1">
        <v>1</v>
      </c>
      <c r="GT125" s="1">
        <v>1</v>
      </c>
      <c r="GU125" s="1">
        <v>1</v>
      </c>
      <c r="GV125" s="1">
        <v>1</v>
      </c>
      <c r="GW125" s="1">
        <v>1</v>
      </c>
      <c r="GX125" s="1">
        <v>1</v>
      </c>
      <c r="GY125" s="1">
        <v>0</v>
      </c>
      <c r="GZ125" s="1">
        <v>0</v>
      </c>
      <c r="HA125" s="1">
        <v>0</v>
      </c>
      <c r="HB125" s="1">
        <v>0</v>
      </c>
      <c r="HC125" s="1">
        <v>1</v>
      </c>
      <c r="HD125" s="1">
        <v>1</v>
      </c>
      <c r="HE125" s="1">
        <v>0</v>
      </c>
      <c r="HF125" s="1">
        <v>0</v>
      </c>
    </row>
    <row r="126" spans="1:214" x14ac:dyDescent="0.2">
      <c r="A126" s="1" t="s">
        <v>536</v>
      </c>
      <c r="B126" s="1" t="s">
        <v>536</v>
      </c>
      <c r="D126" s="1" t="s">
        <v>537</v>
      </c>
      <c r="E126" s="1" t="s">
        <v>215</v>
      </c>
      <c r="F126" s="1">
        <v>0</v>
      </c>
      <c r="G126" s="1" t="s">
        <v>238</v>
      </c>
      <c r="H126" s="1" t="s">
        <v>239</v>
      </c>
      <c r="I126" s="1" t="s">
        <v>240</v>
      </c>
      <c r="J126" s="1">
        <v>600</v>
      </c>
      <c r="K126" s="1" t="s">
        <v>24</v>
      </c>
      <c r="L126" s="1" t="s">
        <v>241</v>
      </c>
      <c r="M126" s="1" t="s">
        <v>16</v>
      </c>
      <c r="N126" s="1">
        <f>IF(Regions_master[[#This Row],[Forecaster]]=Regions_master[[#Headers],[Grigor]],1,0)</f>
        <v>0</v>
      </c>
      <c r="O126" s="1">
        <f>IF(Regions_master[[#This Row],[Forecaster]]=Regions_master[[#Headers],[Ingo]],1,0)</f>
        <v>0</v>
      </c>
      <c r="P126" s="1">
        <f>IF(Regions_master[[#This Row],[Forecaster]]=Regions_master[[#Headers],[Danyira]],1,0)</f>
        <v>0</v>
      </c>
      <c r="Q126" s="1">
        <f>IF(Regions_master[[#This Row],[Forecaster]]=Regions_master[[#Headers],[Sebastian]],1,0)</f>
        <v>1</v>
      </c>
      <c r="R126" s="1">
        <f>IF(Regions_master[[#This Row],[Forecaster]]=Regions_master[[#Headers],[Yasu]],1,0)</f>
        <v>0</v>
      </c>
      <c r="S126" s="1">
        <f>IF(Regions_master[[#This Row],[Forecaster]]=Regions_master[[#Headers],[Zhenqian]],1,0)</f>
        <v>0</v>
      </c>
      <c r="T126" s="1">
        <f>IF(Regions_master[[#This Row],[Forecaster]]=Regions_master[[#Headers],[Berna]],1,0)</f>
        <v>0</v>
      </c>
      <c r="U126" s="1">
        <f>IF(Regions_master[[#This Row],[Forecaster]]=Regions_master[[#Headers],[Julian]],1,0)</f>
        <v>0</v>
      </c>
      <c r="V126" s="1">
        <f>IF(Regions_master[[#This Row],[Forecaster]]=Regions_master[[#Headers],[Katarzyna]],1,0)</f>
        <v>0</v>
      </c>
      <c r="W126" s="1">
        <v>1</v>
      </c>
      <c r="X126" s="1">
        <v>0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>
        <v>0</v>
      </c>
      <c r="BB126" s="1">
        <v>1</v>
      </c>
      <c r="BC126" s="1">
        <v>0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1</v>
      </c>
      <c r="BN126" s="1">
        <v>0</v>
      </c>
      <c r="BO126" s="1">
        <v>0</v>
      </c>
      <c r="BP126" s="1">
        <v>0</v>
      </c>
      <c r="BQ126" s="1">
        <v>0</v>
      </c>
      <c r="BR126" s="1">
        <v>1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1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1</v>
      </c>
      <c r="CT126" s="1">
        <v>0</v>
      </c>
      <c r="CU126" s="1">
        <v>1</v>
      </c>
      <c r="CV126" s="1">
        <v>1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1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1</v>
      </c>
      <c r="DQ126" s="1">
        <v>1</v>
      </c>
      <c r="DR126" s="1">
        <v>1</v>
      </c>
      <c r="DS126" s="1">
        <v>1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1</v>
      </c>
      <c r="ED126" s="1">
        <v>0</v>
      </c>
      <c r="EE126" s="1">
        <v>0</v>
      </c>
      <c r="EF126" s="1">
        <v>0</v>
      </c>
      <c r="EG126" s="1">
        <v>1</v>
      </c>
      <c r="EH126" s="1">
        <v>1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1</v>
      </c>
      <c r="EP126" s="1">
        <v>0</v>
      </c>
      <c r="EQ126" s="1">
        <v>0</v>
      </c>
      <c r="ER126" s="1">
        <v>1</v>
      </c>
      <c r="ES126" s="1">
        <v>1</v>
      </c>
      <c r="ET126" s="1">
        <v>0</v>
      </c>
      <c r="EU126" s="1">
        <v>1</v>
      </c>
      <c r="EV126" s="1">
        <v>0</v>
      </c>
      <c r="EW126" s="1">
        <v>1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1</v>
      </c>
      <c r="FE126" s="1">
        <v>1</v>
      </c>
      <c r="FF126" s="1">
        <v>1</v>
      </c>
      <c r="FG126" s="1">
        <v>1</v>
      </c>
      <c r="FH126" s="1">
        <v>1</v>
      </c>
      <c r="FI126" s="1">
        <v>1</v>
      </c>
      <c r="FJ126" s="1">
        <v>1</v>
      </c>
      <c r="FK126" s="1">
        <v>1</v>
      </c>
      <c r="FL126" s="1">
        <v>1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1</v>
      </c>
      <c r="FW126" s="1">
        <v>1</v>
      </c>
      <c r="FX126" s="1">
        <v>0</v>
      </c>
      <c r="FY126" s="1">
        <v>0</v>
      </c>
      <c r="FZ126" s="1">
        <v>0</v>
      </c>
      <c r="GA126" s="1">
        <v>1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1</v>
      </c>
      <c r="GI126" s="1">
        <v>1</v>
      </c>
      <c r="GJ126" s="1">
        <v>0</v>
      </c>
      <c r="GK126" s="1">
        <v>1</v>
      </c>
      <c r="GL126" s="1">
        <v>0</v>
      </c>
      <c r="GM126" s="1">
        <v>0</v>
      </c>
      <c r="GN126" s="1">
        <v>1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1</v>
      </c>
      <c r="GU126" s="1">
        <v>1</v>
      </c>
      <c r="GV126" s="1">
        <v>1</v>
      </c>
      <c r="GW126" s="1">
        <v>1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1</v>
      </c>
      <c r="HD126" s="1">
        <v>1</v>
      </c>
      <c r="HE126" s="1">
        <v>1</v>
      </c>
      <c r="HF126" s="1">
        <v>0</v>
      </c>
    </row>
    <row r="127" spans="1:214" x14ac:dyDescent="0.2">
      <c r="A127" s="1" t="s">
        <v>538</v>
      </c>
      <c r="B127" s="1" t="s">
        <v>538</v>
      </c>
      <c r="D127" s="1" t="s">
        <v>539</v>
      </c>
      <c r="E127" s="1" t="s">
        <v>215</v>
      </c>
      <c r="F127" s="1">
        <v>0</v>
      </c>
      <c r="G127" s="1" t="s">
        <v>238</v>
      </c>
      <c r="H127" s="1" t="s">
        <v>239</v>
      </c>
      <c r="I127" s="1" t="s">
        <v>240</v>
      </c>
      <c r="J127" s="1">
        <v>604</v>
      </c>
      <c r="K127" s="1" t="s">
        <v>24</v>
      </c>
      <c r="L127" s="1" t="s">
        <v>235</v>
      </c>
      <c r="M127" s="1" t="s">
        <v>16</v>
      </c>
      <c r="N127" s="1">
        <f>IF(Regions_master[[#This Row],[Forecaster]]=Regions_master[[#Headers],[Grigor]],1,0)</f>
        <v>0</v>
      </c>
      <c r="O127" s="1">
        <f>IF(Regions_master[[#This Row],[Forecaster]]=Regions_master[[#Headers],[Ingo]],1,0)</f>
        <v>0</v>
      </c>
      <c r="P127" s="1">
        <f>IF(Regions_master[[#This Row],[Forecaster]]=Regions_master[[#Headers],[Danyira]],1,0)</f>
        <v>0</v>
      </c>
      <c r="Q127" s="1">
        <f>IF(Regions_master[[#This Row],[Forecaster]]=Regions_master[[#Headers],[Sebastian]],1,0)</f>
        <v>1</v>
      </c>
      <c r="R127" s="1">
        <f>IF(Regions_master[[#This Row],[Forecaster]]=Regions_master[[#Headers],[Yasu]],1,0)</f>
        <v>0</v>
      </c>
      <c r="S127" s="1">
        <f>IF(Regions_master[[#This Row],[Forecaster]]=Regions_master[[#Headers],[Zhenqian]],1,0)</f>
        <v>0</v>
      </c>
      <c r="T127" s="1">
        <f>IF(Regions_master[[#This Row],[Forecaster]]=Regions_master[[#Headers],[Berna]],1,0)</f>
        <v>0</v>
      </c>
      <c r="U127" s="1">
        <f>IF(Regions_master[[#This Row],[Forecaster]]=Regions_master[[#Headers],[Julian]],1,0)</f>
        <v>0</v>
      </c>
      <c r="V127" s="1">
        <f>IF(Regions_master[[#This Row],[Forecaster]]=Regions_master[[#Headers],[Katarzyna]],1,0)</f>
        <v>0</v>
      </c>
      <c r="W127" s="1">
        <v>1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1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1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1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1</v>
      </c>
      <c r="CT127" s="1">
        <v>0</v>
      </c>
      <c r="CU127" s="1">
        <v>1</v>
      </c>
      <c r="CV127" s="1">
        <v>1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1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1</v>
      </c>
      <c r="DQ127" s="1">
        <v>1</v>
      </c>
      <c r="DR127" s="1">
        <v>1</v>
      </c>
      <c r="DS127" s="1">
        <v>1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1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1</v>
      </c>
      <c r="EP127" s="1">
        <v>0</v>
      </c>
      <c r="EQ127" s="1">
        <v>0</v>
      </c>
      <c r="ER127" s="1">
        <v>1</v>
      </c>
      <c r="ES127" s="1">
        <v>1</v>
      </c>
      <c r="ET127" s="1">
        <v>0</v>
      </c>
      <c r="EU127" s="1">
        <v>0</v>
      </c>
      <c r="EV127" s="1">
        <v>0</v>
      </c>
      <c r="EW127" s="1">
        <v>1</v>
      </c>
      <c r="EX127" s="1">
        <v>1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1</v>
      </c>
      <c r="FE127" s="1">
        <v>1</v>
      </c>
      <c r="FF127" s="1">
        <v>1</v>
      </c>
      <c r="FG127" s="1">
        <v>1</v>
      </c>
      <c r="FH127" s="1">
        <v>1</v>
      </c>
      <c r="FI127" s="1">
        <v>1</v>
      </c>
      <c r="FJ127" s="1">
        <v>1</v>
      </c>
      <c r="FK127" s="1">
        <v>1</v>
      </c>
      <c r="FL127" s="1">
        <v>1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1</v>
      </c>
      <c r="FW127" s="1">
        <v>1</v>
      </c>
      <c r="FX127" s="1">
        <v>0</v>
      </c>
      <c r="FY127" s="1">
        <v>0</v>
      </c>
      <c r="FZ127" s="1">
        <v>0</v>
      </c>
      <c r="GA127" s="1">
        <v>1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1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1</v>
      </c>
      <c r="GO127" s="1">
        <v>0</v>
      </c>
      <c r="GP127" s="1">
        <v>0</v>
      </c>
      <c r="GQ127" s="1">
        <v>0</v>
      </c>
      <c r="GR127" s="1">
        <v>0</v>
      </c>
      <c r="GS127" s="1">
        <v>1</v>
      </c>
      <c r="GT127" s="1">
        <v>1</v>
      </c>
      <c r="GU127" s="1">
        <v>1</v>
      </c>
      <c r="GV127" s="1">
        <v>1</v>
      </c>
      <c r="GW127" s="1">
        <v>1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1</v>
      </c>
      <c r="HD127" s="1">
        <v>1</v>
      </c>
      <c r="HE127" s="1">
        <v>1</v>
      </c>
      <c r="HF127" s="1">
        <v>0</v>
      </c>
    </row>
    <row r="128" spans="1:214" x14ac:dyDescent="0.2">
      <c r="A128" s="1" t="s">
        <v>540</v>
      </c>
      <c r="B128" s="1" t="s">
        <v>540</v>
      </c>
      <c r="D128" s="1" t="s">
        <v>541</v>
      </c>
      <c r="E128" s="1" t="s">
        <v>215</v>
      </c>
      <c r="F128" s="1">
        <v>0</v>
      </c>
      <c r="G128" s="1" t="s">
        <v>216</v>
      </c>
      <c r="H128" s="1" t="s">
        <v>296</v>
      </c>
      <c r="I128" s="1" t="s">
        <v>297</v>
      </c>
      <c r="J128" s="1">
        <v>608</v>
      </c>
      <c r="K128" s="1" t="s">
        <v>24</v>
      </c>
      <c r="L128" s="1" t="s">
        <v>261</v>
      </c>
      <c r="M128" s="1" t="s">
        <v>299</v>
      </c>
      <c r="N128" s="1">
        <f>IF(Regions_master[[#This Row],[Forecaster]]=Regions_master[[#Headers],[Grigor]],1,0)</f>
        <v>0</v>
      </c>
      <c r="O128" s="1">
        <f>IF(Regions_master[[#This Row],[Forecaster]]=Regions_master[[#Headers],[Ingo]],1,0)</f>
        <v>0</v>
      </c>
      <c r="P128" s="1">
        <f>IF(Regions_master[[#This Row],[Forecaster]]=Regions_master[[#Headers],[Danyira]],1,0)</f>
        <v>0</v>
      </c>
      <c r="Q128" s="1">
        <f>IF(Regions_master[[#This Row],[Forecaster]]=Regions_master[[#Headers],[Sebastian]],1,0)</f>
        <v>0</v>
      </c>
      <c r="R128" s="1">
        <f>IF(Regions_master[[#This Row],[Forecaster]]=Regions_master[[#Headers],[Yasu]],1,0)</f>
        <v>0</v>
      </c>
      <c r="S128" s="1">
        <f>IF(Regions_master[[#This Row],[Forecaster]]=Regions_master[[#Headers],[Zhenqian]],1,0)</f>
        <v>1</v>
      </c>
      <c r="T128" s="1">
        <f>IF(Regions_master[[#This Row],[Forecaster]]=Regions_master[[#Headers],[Berna]],1,0)</f>
        <v>0</v>
      </c>
      <c r="U128" s="1">
        <f>IF(Regions_master[[#This Row],[Forecaster]]=Regions_master[[#Headers],[Julian]],1,0)</f>
        <v>0</v>
      </c>
      <c r="V128" s="1">
        <f>IF(Regions_master[[#This Row],[Forecaster]]=Regions_master[[#Headers],[Katarzyna]],1,0)</f>
        <v>0</v>
      </c>
      <c r="W128" s="1">
        <v>1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1</v>
      </c>
      <c r="AU128" s="1">
        <v>1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1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1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1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1</v>
      </c>
      <c r="DD128" s="1">
        <v>0</v>
      </c>
      <c r="DE128" s="1">
        <v>1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1</v>
      </c>
      <c r="DM128" s="1">
        <v>0</v>
      </c>
      <c r="DN128" s="1">
        <v>0</v>
      </c>
      <c r="DO128" s="1">
        <v>0</v>
      </c>
      <c r="DP128" s="1">
        <v>1</v>
      </c>
      <c r="DQ128" s="1">
        <v>1</v>
      </c>
      <c r="DR128" s="1">
        <v>0</v>
      </c>
      <c r="DS128" s="1">
        <v>0</v>
      </c>
      <c r="DT128" s="1">
        <v>0</v>
      </c>
      <c r="DU128" s="1">
        <v>1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1</v>
      </c>
      <c r="EE128" s="1">
        <v>0</v>
      </c>
      <c r="EF128" s="1">
        <v>1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1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1</v>
      </c>
      <c r="FB128" s="1">
        <v>1</v>
      </c>
      <c r="FC128" s="1">
        <v>0</v>
      </c>
      <c r="FD128" s="1">
        <v>1</v>
      </c>
      <c r="FE128" s="1">
        <v>1</v>
      </c>
      <c r="FF128" s="1">
        <v>1</v>
      </c>
      <c r="FG128" s="1">
        <v>1</v>
      </c>
      <c r="FH128" s="1">
        <v>1</v>
      </c>
      <c r="FI128" s="1">
        <v>1</v>
      </c>
      <c r="FJ128" s="1">
        <v>1</v>
      </c>
      <c r="FK128" s="1">
        <v>1</v>
      </c>
      <c r="FL128" s="1">
        <v>1</v>
      </c>
      <c r="FM128" s="1">
        <v>0</v>
      </c>
      <c r="FN128" s="1">
        <v>0</v>
      </c>
      <c r="FO128" s="1">
        <v>0</v>
      </c>
      <c r="FP128" s="1">
        <v>0</v>
      </c>
      <c r="FQ128" s="1">
        <v>1</v>
      </c>
      <c r="FR128" s="1">
        <v>0</v>
      </c>
      <c r="FS128" s="1">
        <v>1</v>
      </c>
      <c r="FT128" s="1">
        <v>1</v>
      </c>
      <c r="FU128" s="1">
        <v>0</v>
      </c>
      <c r="FV128" s="1">
        <v>0</v>
      </c>
      <c r="FW128" s="1">
        <v>0</v>
      </c>
      <c r="FX128" s="1">
        <v>0</v>
      </c>
      <c r="FY128" s="1">
        <v>1</v>
      </c>
      <c r="FZ128" s="1">
        <v>0</v>
      </c>
      <c r="GA128" s="1">
        <v>0</v>
      </c>
      <c r="GB128" s="1">
        <v>0</v>
      </c>
      <c r="GC128" s="1">
        <v>0</v>
      </c>
      <c r="GD128" s="1">
        <v>1</v>
      </c>
      <c r="GE128" s="1">
        <v>0</v>
      </c>
      <c r="GF128" s="1">
        <v>0</v>
      </c>
      <c r="GG128" s="1">
        <v>1</v>
      </c>
      <c r="GH128" s="1">
        <v>0</v>
      </c>
      <c r="GI128" s="1">
        <v>0</v>
      </c>
      <c r="GJ128" s="1">
        <v>1</v>
      </c>
      <c r="GK128" s="1">
        <v>0</v>
      </c>
      <c r="GL128" s="1">
        <v>1</v>
      </c>
      <c r="GM128" s="1">
        <v>0</v>
      </c>
      <c r="GN128" s="1">
        <v>1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1</v>
      </c>
      <c r="GU128" s="1">
        <v>1</v>
      </c>
      <c r="GV128" s="1">
        <v>1</v>
      </c>
      <c r="GW128" s="1">
        <v>1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1</v>
      </c>
      <c r="HD128" s="1">
        <v>1</v>
      </c>
      <c r="HE128" s="1">
        <v>0</v>
      </c>
      <c r="HF128" s="1">
        <v>0</v>
      </c>
    </row>
    <row r="129" spans="1:214" x14ac:dyDescent="0.2">
      <c r="A129" s="1" t="s">
        <v>542</v>
      </c>
      <c r="B129" s="1" t="s">
        <v>542</v>
      </c>
      <c r="D129" s="1" t="s">
        <v>543</v>
      </c>
      <c r="E129" s="1" t="s">
        <v>215</v>
      </c>
      <c r="F129" s="1">
        <v>0</v>
      </c>
      <c r="G129" s="1" t="s">
        <v>251</v>
      </c>
      <c r="H129" s="1" t="s">
        <v>252</v>
      </c>
      <c r="I129" s="1" t="s">
        <v>253</v>
      </c>
      <c r="J129" s="1">
        <v>616</v>
      </c>
      <c r="K129" s="1" t="s">
        <v>22</v>
      </c>
      <c r="L129" s="1" t="s">
        <v>254</v>
      </c>
      <c r="M129" s="1" t="s">
        <v>13</v>
      </c>
      <c r="N129" s="1">
        <f>IF(Regions_master[[#This Row],[Forecaster]]=Regions_master[[#Headers],[Grigor]],1,0)</f>
        <v>1</v>
      </c>
      <c r="O129" s="1">
        <f>IF(Regions_master[[#This Row],[Forecaster]]=Regions_master[[#Headers],[Ingo]],1,0)</f>
        <v>0</v>
      </c>
      <c r="P129" s="1">
        <f>IF(Regions_master[[#This Row],[Forecaster]]=Regions_master[[#Headers],[Danyira]],1,0)</f>
        <v>0</v>
      </c>
      <c r="Q129" s="1">
        <f>IF(Regions_master[[#This Row],[Forecaster]]=Regions_master[[#Headers],[Sebastian]],1,0)</f>
        <v>0</v>
      </c>
      <c r="R129" s="1">
        <f>IF(Regions_master[[#This Row],[Forecaster]]=Regions_master[[#Headers],[Yasu]],1,0)</f>
        <v>0</v>
      </c>
      <c r="S129" s="1">
        <f>IF(Regions_master[[#This Row],[Forecaster]]=Regions_master[[#Headers],[Zhenqian]],1,0)</f>
        <v>0</v>
      </c>
      <c r="T129" s="1">
        <f>IF(Regions_master[[#This Row],[Forecaster]]=Regions_master[[#Headers],[Berna]],1,0)</f>
        <v>0</v>
      </c>
      <c r="U129" s="1">
        <f>IF(Regions_master[[#This Row],[Forecaster]]=Regions_master[[#Headers],[Julian]],1,0)</f>
        <v>0</v>
      </c>
      <c r="V129" s="1">
        <f>IF(Regions_master[[#This Row],[Forecaster]]=Regions_master[[#Headers],[Katarzyna]],1,0)</f>
        <v>0</v>
      </c>
      <c r="W129" s="1">
        <v>1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1</v>
      </c>
      <c r="AD129" s="1">
        <v>1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1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1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1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1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1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1</v>
      </c>
      <c r="EE129" s="1">
        <v>0</v>
      </c>
      <c r="EF129" s="1">
        <v>1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1</v>
      </c>
      <c r="FB129" s="1">
        <v>1</v>
      </c>
      <c r="FC129" s="1">
        <v>0</v>
      </c>
      <c r="FD129" s="1">
        <v>1</v>
      </c>
      <c r="FE129" s="1">
        <v>1</v>
      </c>
      <c r="FF129" s="1">
        <v>1</v>
      </c>
      <c r="FG129" s="1">
        <v>1</v>
      </c>
      <c r="FH129" s="1">
        <v>1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1</v>
      </c>
      <c r="FO129" s="1">
        <v>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1</v>
      </c>
      <c r="GH129" s="1">
        <v>0</v>
      </c>
      <c r="GI129" s="1">
        <v>0</v>
      </c>
      <c r="GJ129" s="1">
        <v>1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</row>
    <row r="130" spans="1:214" x14ac:dyDescent="0.2">
      <c r="A130" s="1" t="s">
        <v>544</v>
      </c>
      <c r="B130" s="1" t="s">
        <v>544</v>
      </c>
      <c r="D130" s="1" t="s">
        <v>545</v>
      </c>
      <c r="E130" s="1" t="s">
        <v>215</v>
      </c>
      <c r="F130" s="1">
        <v>0</v>
      </c>
      <c r="G130" s="1" t="s">
        <v>251</v>
      </c>
      <c r="H130" s="1" t="s">
        <v>252</v>
      </c>
      <c r="I130" s="1" t="s">
        <v>253</v>
      </c>
      <c r="J130" s="1">
        <v>620</v>
      </c>
      <c r="K130" s="1" t="s">
        <v>22</v>
      </c>
      <c r="L130" s="1" t="s">
        <v>230</v>
      </c>
      <c r="M130" s="1" t="s">
        <v>14</v>
      </c>
      <c r="N130" s="1">
        <f>IF(Regions_master[[#This Row],[Forecaster]]=Regions_master[[#Headers],[Grigor]],1,0)</f>
        <v>0</v>
      </c>
      <c r="O130" s="1">
        <f>IF(Regions_master[[#This Row],[Forecaster]]=Regions_master[[#Headers],[Ingo]],1,0)</f>
        <v>1</v>
      </c>
      <c r="P130" s="1">
        <f>IF(Regions_master[[#This Row],[Forecaster]]=Regions_master[[#Headers],[Danyira]],1,0)</f>
        <v>0</v>
      </c>
      <c r="Q130" s="1">
        <f>IF(Regions_master[[#This Row],[Forecaster]]=Regions_master[[#Headers],[Sebastian]],1,0)</f>
        <v>0</v>
      </c>
      <c r="R130" s="1">
        <f>IF(Regions_master[[#This Row],[Forecaster]]=Regions_master[[#Headers],[Yasu]],1,0)</f>
        <v>0</v>
      </c>
      <c r="S130" s="1">
        <f>IF(Regions_master[[#This Row],[Forecaster]]=Regions_master[[#Headers],[Zhenqian]],1,0)</f>
        <v>0</v>
      </c>
      <c r="T130" s="1">
        <f>IF(Regions_master[[#This Row],[Forecaster]]=Regions_master[[#Headers],[Berna]],1,0)</f>
        <v>0</v>
      </c>
      <c r="U130" s="1">
        <f>IF(Regions_master[[#This Row],[Forecaster]]=Regions_master[[#Headers],[Julian]],1,0)</f>
        <v>0</v>
      </c>
      <c r="V130" s="1">
        <f>IF(Regions_master[[#This Row],[Forecaster]]=Regions_master[[#Headers],[Katarzyna]],1,0)</f>
        <v>0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0</v>
      </c>
      <c r="AI130" s="1">
        <v>0</v>
      </c>
      <c r="AJ130" s="1">
        <v>0</v>
      </c>
      <c r="AK130" s="1">
        <v>1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1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1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1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1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1</v>
      </c>
      <c r="ED130" s="1">
        <v>0</v>
      </c>
      <c r="EE130" s="1">
        <v>0</v>
      </c>
      <c r="EF130" s="1">
        <v>1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1</v>
      </c>
      <c r="FC130" s="1">
        <v>0</v>
      </c>
      <c r="FD130" s="1">
        <v>1</v>
      </c>
      <c r="FE130" s="1">
        <v>1</v>
      </c>
      <c r="FF130" s="1">
        <v>1</v>
      </c>
      <c r="FG130" s="1">
        <v>1</v>
      </c>
      <c r="FH130" s="1">
        <v>1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1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</row>
    <row r="131" spans="1:214" x14ac:dyDescent="0.2">
      <c r="A131" s="1" t="s">
        <v>546</v>
      </c>
      <c r="B131" s="1" t="s">
        <v>546</v>
      </c>
      <c r="D131" s="1" t="s">
        <v>547</v>
      </c>
      <c r="E131" s="1" t="s">
        <v>215</v>
      </c>
      <c r="F131" s="1">
        <v>0</v>
      </c>
      <c r="G131" s="1" t="s">
        <v>216</v>
      </c>
      <c r="H131" s="1" t="s">
        <v>264</v>
      </c>
      <c r="I131" s="1" t="s">
        <v>265</v>
      </c>
      <c r="J131" s="1">
        <v>634</v>
      </c>
      <c r="K131" s="1" t="s">
        <v>24</v>
      </c>
      <c r="L131" s="1" t="s">
        <v>298</v>
      </c>
      <c r="M131" s="1" t="s">
        <v>18</v>
      </c>
      <c r="N131" s="1">
        <f>IF(Regions_master[[#This Row],[Forecaster]]=Regions_master[[#Headers],[Grigor]],1,0)</f>
        <v>0</v>
      </c>
      <c r="O131" s="1">
        <f>IF(Regions_master[[#This Row],[Forecaster]]=Regions_master[[#Headers],[Ingo]],1,0)</f>
        <v>0</v>
      </c>
      <c r="P131" s="1">
        <f>IF(Regions_master[[#This Row],[Forecaster]]=Regions_master[[#Headers],[Danyira]],1,0)</f>
        <v>0</v>
      </c>
      <c r="Q131" s="1">
        <f>IF(Regions_master[[#This Row],[Forecaster]]=Regions_master[[#Headers],[Sebastian]],1,0)</f>
        <v>0</v>
      </c>
      <c r="R131" s="1">
        <f>IF(Regions_master[[#This Row],[Forecaster]]=Regions_master[[#Headers],[Yasu]],1,0)</f>
        <v>0</v>
      </c>
      <c r="S131" s="1">
        <f>IF(Regions_master[[#This Row],[Forecaster]]=Regions_master[[#Headers],[Zhenqian]],1,0)</f>
        <v>0</v>
      </c>
      <c r="T131" s="1">
        <f>IF(Regions_master[[#This Row],[Forecaster]]=Regions_master[[#Headers],[Berna]],1,0)</f>
        <v>1</v>
      </c>
      <c r="U131" s="1">
        <f>IF(Regions_master[[#This Row],[Forecaster]]=Regions_master[[#Headers],[Julian]],1,0)</f>
        <v>0</v>
      </c>
      <c r="V131" s="1">
        <f>IF(Regions_master[[#This Row],[Forecaster]]=Regions_master[[#Headers],[Katarzyna]],1,0)</f>
        <v>0</v>
      </c>
      <c r="W131" s="1">
        <v>1</v>
      </c>
      <c r="X131" s="1">
        <v>0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</v>
      </c>
      <c r="AU131" s="1">
        <v>0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1</v>
      </c>
      <c r="BD131" s="1">
        <v>1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1</v>
      </c>
      <c r="BO131" s="1">
        <v>0</v>
      </c>
      <c r="BP131" s="1">
        <v>0</v>
      </c>
      <c r="BQ131" s="1">
        <v>0</v>
      </c>
      <c r="BR131" s="1">
        <v>0</v>
      </c>
      <c r="BS131" s="1">
        <v>1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1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1</v>
      </c>
      <c r="CV131" s="1">
        <v>1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1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1</v>
      </c>
      <c r="DO131" s="1">
        <v>0</v>
      </c>
      <c r="DP131" s="1">
        <v>1</v>
      </c>
      <c r="DQ131" s="1">
        <v>1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1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1</v>
      </c>
      <c r="ED131" s="1">
        <v>0</v>
      </c>
      <c r="EE131" s="1">
        <v>0</v>
      </c>
      <c r="EF131" s="1">
        <v>0</v>
      </c>
      <c r="EG131" s="1">
        <v>0</v>
      </c>
      <c r="EH131" s="1">
        <v>1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1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1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1</v>
      </c>
      <c r="FE131" s="1">
        <v>1</v>
      </c>
      <c r="FF131" s="1">
        <v>1</v>
      </c>
      <c r="FG131" s="1">
        <v>1</v>
      </c>
      <c r="FH131" s="1">
        <v>1</v>
      </c>
      <c r="FI131" s="1">
        <v>1</v>
      </c>
      <c r="FJ131" s="1">
        <v>1</v>
      </c>
      <c r="FK131" s="1">
        <v>1</v>
      </c>
      <c r="FL131" s="1">
        <v>1</v>
      </c>
      <c r="FM131" s="1">
        <v>0</v>
      </c>
      <c r="FN131" s="1">
        <v>0</v>
      </c>
      <c r="FO131" s="1">
        <v>0</v>
      </c>
      <c r="FP131" s="1">
        <v>0</v>
      </c>
      <c r="FQ131" s="1">
        <v>1</v>
      </c>
      <c r="FR131" s="1">
        <v>0</v>
      </c>
      <c r="FS131" s="1">
        <v>0</v>
      </c>
      <c r="FT131" s="1">
        <v>0</v>
      </c>
      <c r="FU131" s="1">
        <v>1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1</v>
      </c>
      <c r="GE131" s="1">
        <v>0</v>
      </c>
      <c r="GF131" s="1">
        <v>1</v>
      </c>
      <c r="GG131" s="1">
        <v>0</v>
      </c>
      <c r="GH131" s="1">
        <v>1</v>
      </c>
      <c r="GI131" s="1">
        <v>0</v>
      </c>
      <c r="GJ131" s="1">
        <v>0</v>
      </c>
      <c r="GK131" s="1">
        <v>1</v>
      </c>
      <c r="GL131" s="1">
        <v>0</v>
      </c>
      <c r="GM131" s="1">
        <v>0</v>
      </c>
      <c r="GN131" s="1">
        <v>1</v>
      </c>
      <c r="GO131" s="1">
        <v>0</v>
      </c>
      <c r="GP131" s="1">
        <v>1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</row>
    <row r="132" spans="1:214" x14ac:dyDescent="0.2">
      <c r="A132" s="1" t="s">
        <v>548</v>
      </c>
      <c r="B132" s="1" t="s">
        <v>549</v>
      </c>
      <c r="D132" s="1" t="s">
        <v>456</v>
      </c>
      <c r="E132" s="1" t="s">
        <v>215</v>
      </c>
      <c r="F132" s="1">
        <v>0</v>
      </c>
      <c r="G132" s="1" t="s">
        <v>248</v>
      </c>
      <c r="I132" s="1" t="s">
        <v>248</v>
      </c>
      <c r="J132" s="1">
        <v>410</v>
      </c>
      <c r="K132" s="1" t="s">
        <v>22</v>
      </c>
      <c r="L132" s="1" t="s">
        <v>235</v>
      </c>
      <c r="M132" s="1" t="s">
        <v>17</v>
      </c>
      <c r="N132" s="1">
        <f>IF(Regions_master[[#This Row],[Forecaster]]=Regions_master[[#Headers],[Grigor]],1,0)</f>
        <v>0</v>
      </c>
      <c r="O132" s="1">
        <f>IF(Regions_master[[#This Row],[Forecaster]]=Regions_master[[#Headers],[Ingo]],1,0)</f>
        <v>0</v>
      </c>
      <c r="P132" s="1">
        <f>IF(Regions_master[[#This Row],[Forecaster]]=Regions_master[[#Headers],[Danyira]],1,0)</f>
        <v>0</v>
      </c>
      <c r="Q132" s="1">
        <f>IF(Regions_master[[#This Row],[Forecaster]]=Regions_master[[#Headers],[Sebastian]],1,0)</f>
        <v>0</v>
      </c>
      <c r="R132" s="1">
        <f>IF(Regions_master[[#This Row],[Forecaster]]=Regions_master[[#Headers],[Yasu]],1,0)</f>
        <v>1</v>
      </c>
      <c r="S132" s="1">
        <f>IF(Regions_master[[#This Row],[Forecaster]]=Regions_master[[#Headers],[Zhenqian]],1,0)</f>
        <v>0</v>
      </c>
      <c r="T132" s="1">
        <f>IF(Regions_master[[#This Row],[Forecaster]]=Regions_master[[#Headers],[Berna]],1,0)</f>
        <v>0</v>
      </c>
      <c r="U132" s="1">
        <f>IF(Regions_master[[#This Row],[Forecaster]]=Regions_master[[#Headers],[Julian]],1,0)</f>
        <v>0</v>
      </c>
      <c r="V132" s="1">
        <f>IF(Regions_master[[#This Row],[Forecaster]]=Regions_master[[#Headers],[Katarzyna]],1,0)</f>
        <v>0</v>
      </c>
      <c r="W132" s="1">
        <v>1</v>
      </c>
      <c r="X132" s="1">
        <v>1</v>
      </c>
      <c r="Y132" s="1">
        <v>0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1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1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1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1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1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1</v>
      </c>
      <c r="ED132" s="1">
        <v>0</v>
      </c>
      <c r="EE132" s="1">
        <v>0</v>
      </c>
      <c r="EF132" s="1">
        <v>1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1</v>
      </c>
      <c r="FC132" s="1">
        <v>0</v>
      </c>
      <c r="FD132" s="1">
        <v>1</v>
      </c>
      <c r="FE132" s="1">
        <v>1</v>
      </c>
      <c r="FF132" s="1">
        <v>1</v>
      </c>
      <c r="FG132" s="1">
        <v>1</v>
      </c>
      <c r="FH132" s="1">
        <v>1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1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1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</row>
    <row r="133" spans="1:214" x14ac:dyDescent="0.2">
      <c r="A133" s="1" t="s">
        <v>550</v>
      </c>
      <c r="B133" s="1" t="s">
        <v>551</v>
      </c>
      <c r="D133" s="1" t="s">
        <v>552</v>
      </c>
      <c r="E133" s="1" t="s">
        <v>215</v>
      </c>
      <c r="F133" s="1">
        <v>0</v>
      </c>
      <c r="G133" s="1" t="s">
        <v>244</v>
      </c>
      <c r="H133" s="1" t="s">
        <v>223</v>
      </c>
      <c r="I133" s="1" t="s">
        <v>244</v>
      </c>
      <c r="J133" s="1">
        <v>498</v>
      </c>
      <c r="K133" s="1" t="s">
        <v>23</v>
      </c>
      <c r="L133" s="1" t="s">
        <v>553</v>
      </c>
      <c r="M133" s="1" t="s">
        <v>13</v>
      </c>
      <c r="N133" s="1">
        <f>IF(Regions_master[[#This Row],[Forecaster]]=Regions_master[[#Headers],[Grigor]],1,0)</f>
        <v>1</v>
      </c>
      <c r="O133" s="1">
        <f>IF(Regions_master[[#This Row],[Forecaster]]=Regions_master[[#Headers],[Ingo]],1,0)</f>
        <v>0</v>
      </c>
      <c r="P133" s="1">
        <f>IF(Regions_master[[#This Row],[Forecaster]]=Regions_master[[#Headers],[Danyira]],1,0)</f>
        <v>0</v>
      </c>
      <c r="Q133" s="1">
        <f>IF(Regions_master[[#This Row],[Forecaster]]=Regions_master[[#Headers],[Sebastian]],1,0)</f>
        <v>0</v>
      </c>
      <c r="R133" s="1">
        <f>IF(Regions_master[[#This Row],[Forecaster]]=Regions_master[[#Headers],[Yasu]],1,0)</f>
        <v>0</v>
      </c>
      <c r="S133" s="1">
        <f>IF(Regions_master[[#This Row],[Forecaster]]=Regions_master[[#Headers],[Zhenqian]],1,0)</f>
        <v>0</v>
      </c>
      <c r="T133" s="1">
        <f>IF(Regions_master[[#This Row],[Forecaster]]=Regions_master[[#Headers],[Berna]],1,0)</f>
        <v>0</v>
      </c>
      <c r="U133" s="1">
        <f>IF(Regions_master[[#This Row],[Forecaster]]=Regions_master[[#Headers],[Julian]],1,0)</f>
        <v>0</v>
      </c>
      <c r="V133" s="1">
        <f>IF(Regions_master[[#This Row],[Forecaster]]=Regions_master[[#Headers],[Katarzyna]],1,0)</f>
        <v>0</v>
      </c>
      <c r="W133" s="1">
        <v>1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1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1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1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1</v>
      </c>
      <c r="DP133" s="1">
        <v>1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1</v>
      </c>
      <c r="ED133" s="1">
        <v>0</v>
      </c>
      <c r="EE133" s="1">
        <v>0</v>
      </c>
      <c r="EF133" s="1">
        <v>1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1</v>
      </c>
      <c r="ET133" s="1">
        <v>0</v>
      </c>
      <c r="EU133" s="1">
        <v>1</v>
      </c>
      <c r="EV133" s="1">
        <v>0</v>
      </c>
      <c r="EW133" s="1">
        <v>0</v>
      </c>
      <c r="EX133" s="1">
        <v>0</v>
      </c>
      <c r="EY133" s="1">
        <v>1</v>
      </c>
      <c r="EZ133" s="1">
        <v>1</v>
      </c>
      <c r="FA133" s="1">
        <v>1</v>
      </c>
      <c r="FB133" s="1">
        <v>1</v>
      </c>
      <c r="FC133" s="1">
        <v>1</v>
      </c>
      <c r="FD133" s="1">
        <v>1</v>
      </c>
      <c r="FE133" s="1">
        <v>1</v>
      </c>
      <c r="FF133" s="1">
        <v>1</v>
      </c>
      <c r="FG133" s="1">
        <v>1</v>
      </c>
      <c r="FH133" s="1">
        <v>1</v>
      </c>
      <c r="FI133" s="1">
        <v>0</v>
      </c>
      <c r="FJ133" s="1">
        <v>0</v>
      </c>
      <c r="FK133" s="1">
        <v>0</v>
      </c>
      <c r="FL133" s="1">
        <v>0</v>
      </c>
      <c r="FM133" s="1">
        <v>1</v>
      </c>
      <c r="FN133" s="1">
        <v>1</v>
      </c>
      <c r="FO133" s="1">
        <v>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1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1</v>
      </c>
      <c r="GU133" s="1">
        <v>1</v>
      </c>
      <c r="GV133" s="1">
        <v>1</v>
      </c>
      <c r="GW133" s="1">
        <v>1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1</v>
      </c>
      <c r="HD133" s="1">
        <v>1</v>
      </c>
      <c r="HE133" s="1">
        <v>1</v>
      </c>
      <c r="HF133" s="1">
        <v>0</v>
      </c>
    </row>
    <row r="134" spans="1:214" x14ac:dyDescent="0.2">
      <c r="A134" s="1" t="s">
        <v>554</v>
      </c>
      <c r="B134" s="1" t="s">
        <v>554</v>
      </c>
      <c r="D134" s="1" t="s">
        <v>553</v>
      </c>
      <c r="E134" s="1" t="s">
        <v>215</v>
      </c>
      <c r="F134" s="1">
        <v>0</v>
      </c>
      <c r="G134" s="1" t="s">
        <v>251</v>
      </c>
      <c r="H134" s="1" t="s">
        <v>252</v>
      </c>
      <c r="I134" s="1" t="s">
        <v>253</v>
      </c>
      <c r="J134" s="1">
        <v>642</v>
      </c>
      <c r="K134" s="1" t="s">
        <v>22</v>
      </c>
      <c r="L134" s="1" t="s">
        <v>254</v>
      </c>
      <c r="M134" s="1" t="s">
        <v>13</v>
      </c>
      <c r="N134" s="1">
        <f>IF(Regions_master[[#This Row],[Forecaster]]=Regions_master[[#Headers],[Grigor]],1,0)</f>
        <v>1</v>
      </c>
      <c r="O134" s="1">
        <f>IF(Regions_master[[#This Row],[Forecaster]]=Regions_master[[#Headers],[Ingo]],1,0)</f>
        <v>0</v>
      </c>
      <c r="P134" s="1">
        <f>IF(Regions_master[[#This Row],[Forecaster]]=Regions_master[[#Headers],[Danyira]],1,0)</f>
        <v>0</v>
      </c>
      <c r="Q134" s="1">
        <f>IF(Regions_master[[#This Row],[Forecaster]]=Regions_master[[#Headers],[Sebastian]],1,0)</f>
        <v>0</v>
      </c>
      <c r="R134" s="1">
        <f>IF(Regions_master[[#This Row],[Forecaster]]=Regions_master[[#Headers],[Yasu]],1,0)</f>
        <v>0</v>
      </c>
      <c r="S134" s="1">
        <f>IF(Regions_master[[#This Row],[Forecaster]]=Regions_master[[#Headers],[Zhenqian]],1,0)</f>
        <v>0</v>
      </c>
      <c r="T134" s="1">
        <f>IF(Regions_master[[#This Row],[Forecaster]]=Regions_master[[#Headers],[Berna]],1,0)</f>
        <v>0</v>
      </c>
      <c r="U134" s="1">
        <f>IF(Regions_master[[#This Row],[Forecaster]]=Regions_master[[#Headers],[Julian]],1,0)</f>
        <v>0</v>
      </c>
      <c r="V134" s="1">
        <f>IF(Regions_master[[#This Row],[Forecaster]]=Regions_master[[#Headers],[Katarzyna]],1,0)</f>
        <v>0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1</v>
      </c>
      <c r="AD134" s="1">
        <v>1</v>
      </c>
      <c r="AE134" s="1">
        <v>1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1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1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1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1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1</v>
      </c>
      <c r="EE134" s="1">
        <v>0</v>
      </c>
      <c r="EF134" s="1">
        <v>1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1</v>
      </c>
      <c r="FB134" s="1">
        <v>1</v>
      </c>
      <c r="FC134" s="1">
        <v>0</v>
      </c>
      <c r="FD134" s="1">
        <v>1</v>
      </c>
      <c r="FE134" s="1">
        <v>1</v>
      </c>
      <c r="FF134" s="1">
        <v>1</v>
      </c>
      <c r="FG134" s="1">
        <v>1</v>
      </c>
      <c r="FH134" s="1">
        <v>1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1</v>
      </c>
      <c r="FO134" s="1">
        <v>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1</v>
      </c>
      <c r="GH134" s="1">
        <v>0</v>
      </c>
      <c r="GI134" s="1">
        <v>0</v>
      </c>
      <c r="GJ134" s="1">
        <v>1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</row>
    <row r="135" spans="1:214" x14ac:dyDescent="0.2">
      <c r="A135" s="1" t="s">
        <v>555</v>
      </c>
      <c r="B135" s="1" t="s">
        <v>556</v>
      </c>
      <c r="D135" s="1" t="s">
        <v>245</v>
      </c>
      <c r="E135" s="1" t="s">
        <v>215</v>
      </c>
      <c r="F135" s="1">
        <v>0</v>
      </c>
      <c r="G135" s="1" t="s">
        <v>244</v>
      </c>
      <c r="H135" s="1" t="s">
        <v>223</v>
      </c>
      <c r="I135" s="1" t="s">
        <v>244</v>
      </c>
      <c r="J135" s="1">
        <v>643</v>
      </c>
      <c r="K135" s="1" t="s">
        <v>23</v>
      </c>
      <c r="L135" s="1" t="s">
        <v>235</v>
      </c>
      <c r="M135" s="1" t="s">
        <v>13</v>
      </c>
      <c r="N135" s="1">
        <f>IF(Regions_master[[#This Row],[Forecaster]]=Regions_master[[#Headers],[Grigor]],1,0)</f>
        <v>1</v>
      </c>
      <c r="O135" s="1">
        <f>IF(Regions_master[[#This Row],[Forecaster]]=Regions_master[[#Headers],[Ingo]],1,0)</f>
        <v>0</v>
      </c>
      <c r="P135" s="1">
        <f>IF(Regions_master[[#This Row],[Forecaster]]=Regions_master[[#Headers],[Danyira]],1,0)</f>
        <v>0</v>
      </c>
      <c r="Q135" s="1">
        <f>IF(Regions_master[[#This Row],[Forecaster]]=Regions_master[[#Headers],[Sebastian]],1,0)</f>
        <v>0</v>
      </c>
      <c r="R135" s="1">
        <f>IF(Regions_master[[#This Row],[Forecaster]]=Regions_master[[#Headers],[Yasu]],1,0)</f>
        <v>0</v>
      </c>
      <c r="S135" s="1">
        <f>IF(Regions_master[[#This Row],[Forecaster]]=Regions_master[[#Headers],[Zhenqian]],1,0)</f>
        <v>0</v>
      </c>
      <c r="T135" s="1">
        <f>IF(Regions_master[[#This Row],[Forecaster]]=Regions_master[[#Headers],[Berna]],1,0)</f>
        <v>0</v>
      </c>
      <c r="U135" s="1">
        <f>IF(Regions_master[[#This Row],[Forecaster]]=Regions_master[[#Headers],[Julian]],1,0)</f>
        <v>0</v>
      </c>
      <c r="V135" s="1">
        <f>IF(Regions_master[[#This Row],[Forecaster]]=Regions_master[[#Headers],[Katarzyna]],1,0)</f>
        <v>0</v>
      </c>
      <c r="W135" s="1">
        <v>1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  <c r="BD135" s="1">
        <v>1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1</v>
      </c>
      <c r="BP135" s="1">
        <v>1</v>
      </c>
      <c r="BQ135" s="1">
        <v>0</v>
      </c>
      <c r="BR135" s="1">
        <v>0</v>
      </c>
      <c r="BS135" s="1">
        <v>0</v>
      </c>
      <c r="BT135" s="1">
        <v>1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1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1</v>
      </c>
      <c r="CU135" s="1">
        <v>0</v>
      </c>
      <c r="CV135" s="1">
        <v>1</v>
      </c>
      <c r="CW135" s="1">
        <v>0</v>
      </c>
      <c r="CX135" s="1">
        <v>0</v>
      </c>
      <c r="CY135" s="1">
        <v>1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1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1</v>
      </c>
      <c r="ED135" s="1">
        <v>0</v>
      </c>
      <c r="EE135" s="1">
        <v>0</v>
      </c>
      <c r="EF135" s="1">
        <v>0</v>
      </c>
      <c r="EG135" s="1">
        <v>0</v>
      </c>
      <c r="EH135" s="1">
        <v>1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1</v>
      </c>
      <c r="EY135" s="1">
        <v>1</v>
      </c>
      <c r="EZ135" s="1">
        <v>1</v>
      </c>
      <c r="FA135" s="1">
        <v>0</v>
      </c>
      <c r="FB135" s="1">
        <v>0</v>
      </c>
      <c r="FC135" s="1">
        <v>0</v>
      </c>
      <c r="FD135" s="1">
        <v>1</v>
      </c>
      <c r="FE135" s="1">
        <v>1</v>
      </c>
      <c r="FF135" s="1">
        <v>1</v>
      </c>
      <c r="FG135" s="1">
        <v>1</v>
      </c>
      <c r="FH135" s="1">
        <v>1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1</v>
      </c>
      <c r="FO135" s="1">
        <v>1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1</v>
      </c>
      <c r="GI135" s="1">
        <v>0</v>
      </c>
      <c r="GJ135" s="1">
        <v>0</v>
      </c>
      <c r="GK135" s="1">
        <v>1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1</v>
      </c>
    </row>
    <row r="136" spans="1:214" x14ac:dyDescent="0.2">
      <c r="A136" s="1" t="s">
        <v>557</v>
      </c>
      <c r="B136" s="1" t="s">
        <v>557</v>
      </c>
      <c r="D136" s="1" t="s">
        <v>558</v>
      </c>
      <c r="E136" s="1" t="s">
        <v>215</v>
      </c>
      <c r="F136" s="1">
        <v>0</v>
      </c>
      <c r="G136" s="1" t="s">
        <v>227</v>
      </c>
      <c r="H136" s="1" t="s">
        <v>308</v>
      </c>
      <c r="I136" s="1" t="s">
        <v>309</v>
      </c>
      <c r="J136" s="1">
        <v>646</v>
      </c>
      <c r="K136" s="1" t="s">
        <v>24</v>
      </c>
      <c r="L136" s="1" t="s">
        <v>310</v>
      </c>
      <c r="M136" s="1" t="s">
        <v>19</v>
      </c>
      <c r="N136" s="1">
        <f>IF(Regions_master[[#This Row],[Forecaster]]=Regions_master[[#Headers],[Grigor]],1,0)</f>
        <v>0</v>
      </c>
      <c r="O136" s="1">
        <f>IF(Regions_master[[#This Row],[Forecaster]]=Regions_master[[#Headers],[Ingo]],1,0)</f>
        <v>0</v>
      </c>
      <c r="P136" s="1">
        <f>IF(Regions_master[[#This Row],[Forecaster]]=Regions_master[[#Headers],[Danyira]],1,0)</f>
        <v>0</v>
      </c>
      <c r="Q136" s="1">
        <f>IF(Regions_master[[#This Row],[Forecaster]]=Regions_master[[#Headers],[Sebastian]],1,0)</f>
        <v>0</v>
      </c>
      <c r="R136" s="1">
        <f>IF(Regions_master[[#This Row],[Forecaster]]=Regions_master[[#Headers],[Yasu]],1,0)</f>
        <v>0</v>
      </c>
      <c r="S136" s="1">
        <f>IF(Regions_master[[#This Row],[Forecaster]]=Regions_master[[#Headers],[Zhenqian]],1,0)</f>
        <v>0</v>
      </c>
      <c r="T136" s="1">
        <f>IF(Regions_master[[#This Row],[Forecaster]]=Regions_master[[#Headers],[Berna]],1,0)</f>
        <v>0</v>
      </c>
      <c r="U136" s="1">
        <f>IF(Regions_master[[#This Row],[Forecaster]]=Regions_master[[#Headers],[Julian]],1,0)</f>
        <v>1</v>
      </c>
      <c r="V136" s="1">
        <f>IF(Regions_master[[#This Row],[Forecaster]]=Regions_master[[#Headers],[Katarzyna]],1,0)</f>
        <v>0</v>
      </c>
      <c r="W136" s="1">
        <v>1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</v>
      </c>
      <c r="AO136" s="1">
        <v>0</v>
      </c>
      <c r="AP136" s="1">
        <v>0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1</v>
      </c>
      <c r="BH136" s="1">
        <v>1</v>
      </c>
      <c r="BI136" s="1">
        <v>1</v>
      </c>
      <c r="BJ136" s="1">
        <v>1</v>
      </c>
      <c r="BK136" s="1">
        <v>0</v>
      </c>
      <c r="BL136" s="1">
        <v>0</v>
      </c>
      <c r="BM136" s="1">
        <v>1</v>
      </c>
      <c r="BN136" s="1">
        <v>0</v>
      </c>
      <c r="BO136" s="1">
        <v>0</v>
      </c>
      <c r="BP136" s="1">
        <v>0</v>
      </c>
      <c r="BQ136" s="1">
        <v>1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1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1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1</v>
      </c>
      <c r="CV136" s="1">
        <v>1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1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1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1</v>
      </c>
      <c r="DQ136" s="1">
        <v>1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1</v>
      </c>
      <c r="EA136" s="1">
        <v>1</v>
      </c>
      <c r="EB136" s="1">
        <v>0</v>
      </c>
      <c r="EC136" s="1">
        <v>1</v>
      </c>
      <c r="ED136" s="1">
        <v>0</v>
      </c>
      <c r="EE136" s="1">
        <v>1</v>
      </c>
      <c r="EF136" s="1">
        <v>0</v>
      </c>
      <c r="EG136" s="1">
        <v>0</v>
      </c>
      <c r="EH136" s="1">
        <v>0</v>
      </c>
      <c r="EI136" s="1">
        <v>0</v>
      </c>
      <c r="EJ136" s="1">
        <v>1</v>
      </c>
      <c r="EK136" s="1">
        <v>1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1</v>
      </c>
      <c r="ER136" s="1">
        <v>0</v>
      </c>
      <c r="ES136" s="1">
        <v>0</v>
      </c>
      <c r="ET136" s="1">
        <v>0</v>
      </c>
      <c r="EU136" s="1">
        <v>1</v>
      </c>
      <c r="EV136" s="1">
        <v>0</v>
      </c>
      <c r="EW136" s="1">
        <v>0</v>
      </c>
      <c r="EX136" s="1">
        <v>1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1</v>
      </c>
      <c r="FE136" s="1">
        <v>1</v>
      </c>
      <c r="FF136" s="1">
        <v>1</v>
      </c>
      <c r="FG136" s="1">
        <v>1</v>
      </c>
      <c r="FH136" s="1">
        <v>1</v>
      </c>
      <c r="FI136" s="1">
        <v>1</v>
      </c>
      <c r="FJ136" s="1">
        <v>1</v>
      </c>
      <c r="FK136" s="1">
        <v>1</v>
      </c>
      <c r="FL136" s="1">
        <v>1</v>
      </c>
      <c r="FM136" s="1">
        <v>0</v>
      </c>
      <c r="FN136" s="1">
        <v>0</v>
      </c>
      <c r="FO136" s="1">
        <v>0</v>
      </c>
      <c r="FP136" s="1">
        <v>1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1</v>
      </c>
      <c r="FY136" s="1">
        <v>0</v>
      </c>
      <c r="FZ136" s="1">
        <v>0</v>
      </c>
      <c r="GA136" s="1">
        <v>0</v>
      </c>
      <c r="GB136" s="1">
        <v>0</v>
      </c>
      <c r="GC136" s="1">
        <v>1</v>
      </c>
      <c r="GD136" s="1">
        <v>0</v>
      </c>
      <c r="GE136" s="1">
        <v>0</v>
      </c>
      <c r="GF136" s="1">
        <v>0</v>
      </c>
      <c r="GG136" s="1">
        <v>0</v>
      </c>
      <c r="GH136" s="1">
        <v>1</v>
      </c>
      <c r="GI136" s="1">
        <v>0</v>
      </c>
      <c r="GJ136" s="1">
        <v>0</v>
      </c>
      <c r="GK136" s="1">
        <v>0</v>
      </c>
      <c r="GL136" s="1">
        <v>0</v>
      </c>
      <c r="GM136" s="1">
        <v>1</v>
      </c>
      <c r="GN136" s="1">
        <v>1</v>
      </c>
      <c r="GO136" s="1">
        <v>1</v>
      </c>
      <c r="GP136" s="1">
        <v>0</v>
      </c>
      <c r="GQ136" s="1">
        <v>1</v>
      </c>
      <c r="GR136" s="1">
        <v>0</v>
      </c>
      <c r="GS136" s="1">
        <v>1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</row>
    <row r="137" spans="1:214" x14ac:dyDescent="0.2">
      <c r="A137" s="1" t="s">
        <v>559</v>
      </c>
      <c r="B137" s="1" t="s">
        <v>559</v>
      </c>
      <c r="D137" s="1" t="s">
        <v>560</v>
      </c>
      <c r="E137" s="1" t="s">
        <v>215</v>
      </c>
      <c r="F137" s="1">
        <v>0</v>
      </c>
      <c r="G137" s="1" t="s">
        <v>216</v>
      </c>
      <c r="H137" s="1" t="s">
        <v>296</v>
      </c>
      <c r="I137" s="1" t="s">
        <v>297</v>
      </c>
      <c r="J137" s="1">
        <v>882</v>
      </c>
      <c r="K137" s="1" t="s">
        <v>24</v>
      </c>
      <c r="L137" s="1" t="s">
        <v>515</v>
      </c>
      <c r="M137" s="1" t="s">
        <v>15</v>
      </c>
      <c r="N137" s="1">
        <f>IF(Regions_master[[#This Row],[Forecaster]]=Regions_master[[#Headers],[Grigor]],1,0)</f>
        <v>0</v>
      </c>
      <c r="O137" s="1">
        <f>IF(Regions_master[[#This Row],[Forecaster]]=Regions_master[[#Headers],[Ingo]],1,0)</f>
        <v>0</v>
      </c>
      <c r="P137" s="1">
        <f>IF(Regions_master[[#This Row],[Forecaster]]=Regions_master[[#Headers],[Danyira]],1,0)</f>
        <v>1</v>
      </c>
      <c r="Q137" s="1">
        <f>IF(Regions_master[[#This Row],[Forecaster]]=Regions_master[[#Headers],[Sebastian]],1,0)</f>
        <v>0</v>
      </c>
      <c r="R137" s="1">
        <f>IF(Regions_master[[#This Row],[Forecaster]]=Regions_master[[#Headers],[Yasu]],1,0)</f>
        <v>0</v>
      </c>
      <c r="S137" s="1">
        <f>IF(Regions_master[[#This Row],[Forecaster]]=Regions_master[[#Headers],[Zhenqian]],1,0)</f>
        <v>0</v>
      </c>
      <c r="T137" s="1">
        <f>IF(Regions_master[[#This Row],[Forecaster]]=Regions_master[[#Headers],[Berna]],1,0)</f>
        <v>0</v>
      </c>
      <c r="U137" s="1">
        <f>IF(Regions_master[[#This Row],[Forecaster]]=Regions_master[[#Headers],[Julian]],1,0)</f>
        <v>0</v>
      </c>
      <c r="V137" s="1">
        <f>IF(Regions_master[[#This Row],[Forecaster]]=Regions_master[[#Headers],[Katarzyna]],1,0)</f>
        <v>0</v>
      </c>
      <c r="W137" s="1">
        <v>1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</v>
      </c>
      <c r="AU137" s="1">
        <v>1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1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1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1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1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1</v>
      </c>
      <c r="DD137" s="1">
        <v>0</v>
      </c>
      <c r="DE137" s="1">
        <v>1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1</v>
      </c>
      <c r="DM137" s="1">
        <v>0</v>
      </c>
      <c r="DN137" s="1">
        <v>0</v>
      </c>
      <c r="DO137" s="1">
        <v>0</v>
      </c>
      <c r="DP137" s="1">
        <v>1</v>
      </c>
      <c r="DQ137" s="1">
        <v>1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1</v>
      </c>
      <c r="EE137" s="1">
        <v>1</v>
      </c>
      <c r="EF137" s="1">
        <v>0</v>
      </c>
      <c r="EG137" s="1">
        <v>0</v>
      </c>
      <c r="EH137" s="1">
        <v>1</v>
      </c>
      <c r="EI137" s="1">
        <v>1</v>
      </c>
      <c r="EJ137" s="1">
        <v>0</v>
      </c>
      <c r="EK137" s="1">
        <v>0</v>
      </c>
      <c r="EL137" s="1">
        <v>0</v>
      </c>
      <c r="EM137" s="1">
        <v>0</v>
      </c>
      <c r="EN137" s="1">
        <v>1</v>
      </c>
      <c r="EO137" s="1">
        <v>0</v>
      </c>
      <c r="EP137" s="1">
        <v>0</v>
      </c>
      <c r="EQ137" s="1">
        <v>0</v>
      </c>
      <c r="ER137" s="1">
        <v>0</v>
      </c>
      <c r="ES137" s="1">
        <v>1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1</v>
      </c>
      <c r="FB137" s="1">
        <v>0</v>
      </c>
      <c r="FC137" s="1">
        <v>0</v>
      </c>
      <c r="FD137" s="1">
        <v>1</v>
      </c>
      <c r="FE137" s="1">
        <v>1</v>
      </c>
      <c r="FF137" s="1">
        <v>1</v>
      </c>
      <c r="FG137" s="1">
        <v>1</v>
      </c>
      <c r="FH137" s="1">
        <v>1</v>
      </c>
      <c r="FI137" s="1">
        <v>1</v>
      </c>
      <c r="FJ137" s="1">
        <v>1</v>
      </c>
      <c r="FK137" s="1">
        <v>1</v>
      </c>
      <c r="FL137" s="1">
        <v>1</v>
      </c>
      <c r="FM137" s="1">
        <v>0</v>
      </c>
      <c r="FN137" s="1">
        <v>0</v>
      </c>
      <c r="FO137" s="1">
        <v>0</v>
      </c>
      <c r="FP137" s="1">
        <v>0</v>
      </c>
      <c r="FQ137" s="1">
        <v>1</v>
      </c>
      <c r="FR137" s="1">
        <v>0</v>
      </c>
      <c r="FS137" s="1">
        <v>1</v>
      </c>
      <c r="FT137" s="1">
        <v>1</v>
      </c>
      <c r="FU137" s="1">
        <v>0</v>
      </c>
      <c r="FV137" s="1">
        <v>0</v>
      </c>
      <c r="FW137" s="1">
        <v>0</v>
      </c>
      <c r="FX137" s="1">
        <v>0</v>
      </c>
      <c r="FY137" s="1">
        <v>1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1</v>
      </c>
      <c r="GH137" s="1">
        <v>0</v>
      </c>
      <c r="GI137" s="1">
        <v>0</v>
      </c>
      <c r="GJ137" s="1">
        <v>0</v>
      </c>
      <c r="GK137" s="1">
        <v>1</v>
      </c>
      <c r="GL137" s="1">
        <v>0</v>
      </c>
      <c r="GM137" s="1">
        <v>0</v>
      </c>
      <c r="GN137" s="1">
        <v>1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1</v>
      </c>
      <c r="GU137" s="1">
        <v>1</v>
      </c>
      <c r="GV137" s="1">
        <v>1</v>
      </c>
      <c r="GW137" s="1">
        <v>1</v>
      </c>
      <c r="GX137" s="1">
        <v>1</v>
      </c>
      <c r="GY137" s="1">
        <v>0</v>
      </c>
      <c r="GZ137" s="1">
        <v>0</v>
      </c>
      <c r="HA137" s="1">
        <v>0</v>
      </c>
      <c r="HB137" s="1">
        <v>0</v>
      </c>
      <c r="HC137" s="1">
        <v>1</v>
      </c>
      <c r="HD137" s="1">
        <v>1</v>
      </c>
      <c r="HE137" s="1">
        <v>1</v>
      </c>
      <c r="HF137" s="1">
        <v>0</v>
      </c>
    </row>
    <row r="138" spans="1:214" x14ac:dyDescent="0.2">
      <c r="A138" s="1" t="s">
        <v>561</v>
      </c>
      <c r="B138" s="1" t="s">
        <v>562</v>
      </c>
      <c r="D138" s="1" t="s">
        <v>563</v>
      </c>
      <c r="E138" s="1" t="s">
        <v>215</v>
      </c>
      <c r="F138" s="1">
        <v>0</v>
      </c>
      <c r="G138" s="1" t="s">
        <v>227</v>
      </c>
      <c r="H138" s="1" t="s">
        <v>318</v>
      </c>
      <c r="I138" s="1" t="s">
        <v>319</v>
      </c>
      <c r="J138" s="1">
        <v>678</v>
      </c>
      <c r="K138" s="1" t="s">
        <v>24</v>
      </c>
      <c r="L138" s="1" t="s">
        <v>545</v>
      </c>
      <c r="M138" s="1" t="s">
        <v>20</v>
      </c>
      <c r="N138" s="1">
        <f>IF(Regions_master[[#This Row],[Forecaster]]=Regions_master[[#Headers],[Grigor]],1,0)</f>
        <v>0</v>
      </c>
      <c r="O138" s="1">
        <f>IF(Regions_master[[#This Row],[Forecaster]]=Regions_master[[#Headers],[Ingo]],1,0)</f>
        <v>0</v>
      </c>
      <c r="P138" s="1">
        <f>IF(Regions_master[[#This Row],[Forecaster]]=Regions_master[[#Headers],[Danyira]],1,0)</f>
        <v>0</v>
      </c>
      <c r="Q138" s="1">
        <f>IF(Regions_master[[#This Row],[Forecaster]]=Regions_master[[#Headers],[Sebastian]],1,0)</f>
        <v>0</v>
      </c>
      <c r="R138" s="1">
        <f>IF(Regions_master[[#This Row],[Forecaster]]=Regions_master[[#Headers],[Yasu]],1,0)</f>
        <v>0</v>
      </c>
      <c r="S138" s="1">
        <f>IF(Regions_master[[#This Row],[Forecaster]]=Regions_master[[#Headers],[Zhenqian]],1,0)</f>
        <v>0</v>
      </c>
      <c r="T138" s="1">
        <f>IF(Regions_master[[#This Row],[Forecaster]]=Regions_master[[#Headers],[Berna]],1,0)</f>
        <v>0</v>
      </c>
      <c r="U138" s="1">
        <f>IF(Regions_master[[#This Row],[Forecaster]]=Regions_master[[#Headers],[Julian]],1,0)</f>
        <v>0</v>
      </c>
      <c r="V138" s="1">
        <f>IF(Regions_master[[#This Row],[Forecaster]]=Regions_master[[#Headers],[Katarzyna]],1,0)</f>
        <v>1</v>
      </c>
      <c r="W138" s="1">
        <v>1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</v>
      </c>
      <c r="AO138" s="1">
        <v>0</v>
      </c>
      <c r="AP138" s="1">
        <v>1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</v>
      </c>
      <c r="BG138" s="1">
        <v>0</v>
      </c>
      <c r="BH138" s="1">
        <v>0</v>
      </c>
      <c r="BI138" s="1">
        <v>1</v>
      </c>
      <c r="BJ138" s="1">
        <v>1</v>
      </c>
      <c r="BK138" s="1">
        <v>0</v>
      </c>
      <c r="BL138" s="1">
        <v>1</v>
      </c>
      <c r="BM138" s="1">
        <v>0</v>
      </c>
      <c r="BN138" s="1">
        <v>0</v>
      </c>
      <c r="BO138" s="1">
        <v>0</v>
      </c>
      <c r="BP138" s="1">
        <v>0</v>
      </c>
      <c r="BQ138" s="1">
        <v>1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1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1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1</v>
      </c>
      <c r="CV138" s="1">
        <v>1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1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1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1</v>
      </c>
      <c r="DQ138" s="1">
        <v>1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1</v>
      </c>
      <c r="EB138" s="1">
        <v>0</v>
      </c>
      <c r="EC138" s="1">
        <v>0</v>
      </c>
      <c r="ED138" s="1">
        <v>1</v>
      </c>
      <c r="EE138" s="1">
        <v>1</v>
      </c>
      <c r="EF138" s="1">
        <v>0</v>
      </c>
      <c r="EG138" s="1">
        <v>1</v>
      </c>
      <c r="EH138" s="1">
        <v>0</v>
      </c>
      <c r="EI138" s="1">
        <v>1</v>
      </c>
      <c r="EJ138" s="1">
        <v>0</v>
      </c>
      <c r="EK138" s="1">
        <v>1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1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1</v>
      </c>
      <c r="FB138" s="1">
        <v>0</v>
      </c>
      <c r="FC138" s="1">
        <v>0</v>
      </c>
      <c r="FD138" s="1">
        <v>1</v>
      </c>
      <c r="FE138" s="1">
        <v>1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1</v>
      </c>
      <c r="FM138" s="1">
        <v>0</v>
      </c>
      <c r="FN138" s="1">
        <v>0</v>
      </c>
      <c r="FO138" s="1">
        <v>0</v>
      </c>
      <c r="FP138" s="1">
        <v>1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1</v>
      </c>
      <c r="FY138" s="1">
        <v>0</v>
      </c>
      <c r="FZ138" s="1">
        <v>0</v>
      </c>
      <c r="GA138" s="1">
        <v>0</v>
      </c>
      <c r="GB138" s="1">
        <v>0</v>
      </c>
      <c r="GC138" s="1">
        <v>1</v>
      </c>
      <c r="GD138" s="1">
        <v>0</v>
      </c>
      <c r="GE138" s="1">
        <v>0</v>
      </c>
      <c r="GF138" s="1">
        <v>0</v>
      </c>
      <c r="GG138" s="1">
        <v>1</v>
      </c>
      <c r="GH138" s="1">
        <v>1</v>
      </c>
      <c r="GI138" s="1">
        <v>1</v>
      </c>
      <c r="GJ138" s="1">
        <v>0</v>
      </c>
      <c r="GK138" s="1">
        <v>0</v>
      </c>
      <c r="GL138" s="1">
        <v>1</v>
      </c>
      <c r="GM138" s="1">
        <v>0</v>
      </c>
      <c r="GN138" s="1">
        <v>1</v>
      </c>
      <c r="GO138" s="1">
        <v>0</v>
      </c>
      <c r="GP138" s="1">
        <v>0</v>
      </c>
      <c r="GQ138" s="1">
        <v>1</v>
      </c>
      <c r="GR138" s="1">
        <v>0</v>
      </c>
      <c r="GS138" s="1">
        <v>0</v>
      </c>
      <c r="GT138" s="1">
        <v>1</v>
      </c>
      <c r="GU138" s="1">
        <v>1</v>
      </c>
      <c r="GV138" s="1">
        <v>1</v>
      </c>
      <c r="GW138" s="1">
        <v>1</v>
      </c>
      <c r="GX138" s="1">
        <v>0</v>
      </c>
      <c r="GY138" s="1">
        <v>1</v>
      </c>
      <c r="GZ138" s="1">
        <v>1</v>
      </c>
      <c r="HA138" s="1">
        <v>0</v>
      </c>
      <c r="HB138" s="1">
        <v>0</v>
      </c>
      <c r="HC138" s="1">
        <v>1</v>
      </c>
      <c r="HD138" s="1">
        <v>1</v>
      </c>
      <c r="HE138" s="1">
        <v>0</v>
      </c>
      <c r="HF138" s="1">
        <v>0</v>
      </c>
    </row>
    <row r="139" spans="1:214" x14ac:dyDescent="0.2">
      <c r="A139" s="1" t="s">
        <v>564</v>
      </c>
      <c r="B139" s="1" t="s">
        <v>565</v>
      </c>
      <c r="D139" s="1" t="s">
        <v>266</v>
      </c>
      <c r="E139" s="1" t="s">
        <v>215</v>
      </c>
      <c r="F139" s="1">
        <v>0</v>
      </c>
      <c r="G139" s="1" t="s">
        <v>216</v>
      </c>
      <c r="H139" s="1" t="s">
        <v>264</v>
      </c>
      <c r="I139" s="1" t="s">
        <v>265</v>
      </c>
      <c r="J139" s="1">
        <v>682</v>
      </c>
      <c r="K139" s="1" t="s">
        <v>24</v>
      </c>
      <c r="L139" s="1" t="s">
        <v>235</v>
      </c>
      <c r="M139" s="1" t="s">
        <v>18</v>
      </c>
      <c r="N139" s="1">
        <f>IF(Regions_master[[#This Row],[Forecaster]]=Regions_master[[#Headers],[Grigor]],1,0)</f>
        <v>0</v>
      </c>
      <c r="O139" s="1">
        <f>IF(Regions_master[[#This Row],[Forecaster]]=Regions_master[[#Headers],[Ingo]],1,0)</f>
        <v>0</v>
      </c>
      <c r="P139" s="1">
        <f>IF(Regions_master[[#This Row],[Forecaster]]=Regions_master[[#Headers],[Danyira]],1,0)</f>
        <v>0</v>
      </c>
      <c r="Q139" s="1">
        <f>IF(Regions_master[[#This Row],[Forecaster]]=Regions_master[[#Headers],[Sebastian]],1,0)</f>
        <v>0</v>
      </c>
      <c r="R139" s="1">
        <f>IF(Regions_master[[#This Row],[Forecaster]]=Regions_master[[#Headers],[Yasu]],1,0)</f>
        <v>0</v>
      </c>
      <c r="S139" s="1">
        <f>IF(Regions_master[[#This Row],[Forecaster]]=Regions_master[[#Headers],[Zhenqian]],1,0)</f>
        <v>0</v>
      </c>
      <c r="T139" s="1">
        <f>IF(Regions_master[[#This Row],[Forecaster]]=Regions_master[[#Headers],[Berna]],1,0)</f>
        <v>1</v>
      </c>
      <c r="U139" s="1">
        <f>IF(Regions_master[[#This Row],[Forecaster]]=Regions_master[[#Headers],[Julian]],1,0)</f>
        <v>0</v>
      </c>
      <c r="V139" s="1">
        <f>IF(Regions_master[[#This Row],[Forecaster]]=Regions_master[[#Headers],[Katarzyna]],1,0)</f>
        <v>0</v>
      </c>
      <c r="W139" s="1">
        <v>1</v>
      </c>
      <c r="X139" s="1">
        <v>0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1</v>
      </c>
      <c r="AY139" s="1">
        <v>0</v>
      </c>
      <c r="AZ139" s="1">
        <v>0</v>
      </c>
      <c r="BA139" s="1">
        <v>0</v>
      </c>
      <c r="BB139" s="1">
        <v>0</v>
      </c>
      <c r="BC139" s="1">
        <v>1</v>
      </c>
      <c r="BD139" s="1">
        <v>1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1</v>
      </c>
      <c r="BO139" s="1">
        <v>0</v>
      </c>
      <c r="BP139" s="1">
        <v>1</v>
      </c>
      <c r="BQ139" s="1">
        <v>0</v>
      </c>
      <c r="BR139" s="1">
        <v>0</v>
      </c>
      <c r="BS139" s="1">
        <v>1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1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1</v>
      </c>
      <c r="CU139" s="1">
        <v>1</v>
      </c>
      <c r="CV139" s="1">
        <v>1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1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1</v>
      </c>
      <c r="DO139" s="1">
        <v>0</v>
      </c>
      <c r="DP139" s="1">
        <v>1</v>
      </c>
      <c r="DQ139" s="1">
        <v>1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1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1</v>
      </c>
      <c r="EE139" s="1">
        <v>0</v>
      </c>
      <c r="EF139" s="1">
        <v>0</v>
      </c>
      <c r="EG139" s="1">
        <v>0</v>
      </c>
      <c r="EH139" s="1">
        <v>1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1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1</v>
      </c>
      <c r="EY139" s="1">
        <v>0</v>
      </c>
      <c r="EZ139" s="1">
        <v>0</v>
      </c>
      <c r="FA139" s="1">
        <v>1</v>
      </c>
      <c r="FB139" s="1">
        <v>0</v>
      </c>
      <c r="FC139" s="1">
        <v>0</v>
      </c>
      <c r="FD139" s="1">
        <v>1</v>
      </c>
      <c r="FE139" s="1">
        <v>1</v>
      </c>
      <c r="FF139" s="1">
        <v>1</v>
      </c>
      <c r="FG139" s="1">
        <v>1</v>
      </c>
      <c r="FH139" s="1">
        <v>1</v>
      </c>
      <c r="FI139" s="1">
        <v>1</v>
      </c>
      <c r="FJ139" s="1">
        <v>1</v>
      </c>
      <c r="FK139" s="1">
        <v>1</v>
      </c>
      <c r="FL139" s="1">
        <v>1</v>
      </c>
      <c r="FM139" s="1">
        <v>0</v>
      </c>
      <c r="FN139" s="1">
        <v>0</v>
      </c>
      <c r="FO139" s="1">
        <v>0</v>
      </c>
      <c r="FP139" s="1">
        <v>0</v>
      </c>
      <c r="FQ139" s="1">
        <v>1</v>
      </c>
      <c r="FR139" s="1">
        <v>0</v>
      </c>
      <c r="FS139" s="1">
        <v>0</v>
      </c>
      <c r="FT139" s="1">
        <v>0</v>
      </c>
      <c r="FU139" s="1">
        <v>1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1</v>
      </c>
      <c r="GE139" s="1">
        <v>0</v>
      </c>
      <c r="GF139" s="1">
        <v>1</v>
      </c>
      <c r="GG139" s="1">
        <v>1</v>
      </c>
      <c r="GH139" s="1">
        <v>1</v>
      </c>
      <c r="GI139" s="1">
        <v>0</v>
      </c>
      <c r="GJ139" s="1">
        <v>0</v>
      </c>
      <c r="GK139" s="1">
        <v>1</v>
      </c>
      <c r="GL139" s="1">
        <v>0</v>
      </c>
      <c r="GM139" s="1">
        <v>0</v>
      </c>
      <c r="GN139" s="1">
        <v>1</v>
      </c>
      <c r="GO139" s="1">
        <v>0</v>
      </c>
      <c r="GP139" s="1">
        <v>1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</row>
    <row r="140" spans="1:214" x14ac:dyDescent="0.2">
      <c r="A140" s="1" t="s">
        <v>566</v>
      </c>
      <c r="B140" s="1" t="s">
        <v>566</v>
      </c>
      <c r="D140" s="1" t="s">
        <v>567</v>
      </c>
      <c r="E140" s="1" t="s">
        <v>215</v>
      </c>
      <c r="F140" s="1">
        <v>0</v>
      </c>
      <c r="G140" s="1" t="s">
        <v>227</v>
      </c>
      <c r="H140" s="1" t="s">
        <v>280</v>
      </c>
      <c r="I140" s="1" t="s">
        <v>281</v>
      </c>
      <c r="J140" s="1">
        <v>686</v>
      </c>
      <c r="K140" s="1" t="s">
        <v>24</v>
      </c>
      <c r="L140" s="1" t="s">
        <v>488</v>
      </c>
      <c r="M140" s="1" t="s">
        <v>19</v>
      </c>
      <c r="N140" s="1">
        <f>IF(Regions_master[[#This Row],[Forecaster]]=Regions_master[[#Headers],[Grigor]],1,0)</f>
        <v>0</v>
      </c>
      <c r="O140" s="1">
        <f>IF(Regions_master[[#This Row],[Forecaster]]=Regions_master[[#Headers],[Ingo]],1,0)</f>
        <v>0</v>
      </c>
      <c r="P140" s="1">
        <f>IF(Regions_master[[#This Row],[Forecaster]]=Regions_master[[#Headers],[Danyira]],1,0)</f>
        <v>0</v>
      </c>
      <c r="Q140" s="1">
        <f>IF(Regions_master[[#This Row],[Forecaster]]=Regions_master[[#Headers],[Sebastian]],1,0)</f>
        <v>0</v>
      </c>
      <c r="R140" s="1">
        <f>IF(Regions_master[[#This Row],[Forecaster]]=Regions_master[[#Headers],[Yasu]],1,0)</f>
        <v>0</v>
      </c>
      <c r="S140" s="1">
        <f>IF(Regions_master[[#This Row],[Forecaster]]=Regions_master[[#Headers],[Zhenqian]],1,0)</f>
        <v>0</v>
      </c>
      <c r="T140" s="1">
        <f>IF(Regions_master[[#This Row],[Forecaster]]=Regions_master[[#Headers],[Berna]],1,0)</f>
        <v>0</v>
      </c>
      <c r="U140" s="1">
        <f>IF(Regions_master[[#This Row],[Forecaster]]=Regions_master[[#Headers],[Julian]],1,0)</f>
        <v>1</v>
      </c>
      <c r="V140" s="1">
        <f>IF(Regions_master[[#This Row],[Forecaster]]=Regions_master[[#Headers],[Katarzyna]],1,0)</f>
        <v>0</v>
      </c>
      <c r="W140" s="1">
        <v>1</v>
      </c>
      <c r="X140" s="1">
        <v>0</v>
      </c>
      <c r="Y140" s="1">
        <v>0</v>
      </c>
      <c r="Z140" s="1">
        <v>1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</v>
      </c>
      <c r="AO140" s="1">
        <v>0</v>
      </c>
      <c r="AP140" s="1">
        <v>0</v>
      </c>
      <c r="AQ140" s="1">
        <v>0</v>
      </c>
      <c r="AR140" s="1">
        <v>0</v>
      </c>
      <c r="AS140" s="1">
        <v>1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</v>
      </c>
      <c r="BG140" s="1">
        <v>0</v>
      </c>
      <c r="BH140" s="1">
        <v>1</v>
      </c>
      <c r="BI140" s="1">
        <v>1</v>
      </c>
      <c r="BJ140" s="1">
        <v>1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1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1</v>
      </c>
      <c r="CQ140" s="1">
        <v>0</v>
      </c>
      <c r="CR140" s="1">
        <v>0</v>
      </c>
      <c r="CS140" s="1">
        <v>0</v>
      </c>
      <c r="CT140" s="1">
        <v>0</v>
      </c>
      <c r="CU140" s="1">
        <v>1</v>
      </c>
      <c r="CV140" s="1">
        <v>1</v>
      </c>
      <c r="CW140" s="1">
        <v>1</v>
      </c>
      <c r="CX140" s="1">
        <v>0</v>
      </c>
      <c r="CY140" s="1">
        <v>0</v>
      </c>
      <c r="CZ140" s="1">
        <v>0</v>
      </c>
      <c r="DA140" s="1">
        <v>0</v>
      </c>
      <c r="DB140" s="1">
        <v>1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1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1</v>
      </c>
      <c r="DQ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1</v>
      </c>
      <c r="DZ140" s="1">
        <v>0</v>
      </c>
      <c r="EA140" s="1">
        <v>0</v>
      </c>
      <c r="EB140" s="1">
        <v>0</v>
      </c>
      <c r="EC140" s="1">
        <v>0</v>
      </c>
      <c r="ED140" s="1">
        <v>1</v>
      </c>
      <c r="EE140" s="1">
        <v>0</v>
      </c>
      <c r="EF140" s="1">
        <v>0</v>
      </c>
      <c r="EG140" s="1">
        <v>1</v>
      </c>
      <c r="EH140" s="1">
        <v>0</v>
      </c>
      <c r="EI140" s="1">
        <v>0</v>
      </c>
      <c r="EJ140" s="1">
        <v>1</v>
      </c>
      <c r="EK140" s="1">
        <v>1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1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1</v>
      </c>
      <c r="FB140" s="1">
        <v>0</v>
      </c>
      <c r="FC140" s="1">
        <v>0</v>
      </c>
      <c r="FD140" s="1">
        <v>1</v>
      </c>
      <c r="FE140" s="1">
        <v>1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1</v>
      </c>
      <c r="FM140" s="1">
        <v>0</v>
      </c>
      <c r="FN140" s="1">
        <v>0</v>
      </c>
      <c r="FO140" s="1">
        <v>0</v>
      </c>
      <c r="FP140" s="1">
        <v>1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1</v>
      </c>
      <c r="FY140" s="1">
        <v>0</v>
      </c>
      <c r="FZ140" s="1">
        <v>0</v>
      </c>
      <c r="GA140" s="1">
        <v>0</v>
      </c>
      <c r="GB140" s="1">
        <v>0</v>
      </c>
      <c r="GC140" s="1">
        <v>1</v>
      </c>
      <c r="GD140" s="1">
        <v>0</v>
      </c>
      <c r="GE140" s="1">
        <v>0</v>
      </c>
      <c r="GF140" s="1">
        <v>0</v>
      </c>
      <c r="GG140" s="1">
        <v>1</v>
      </c>
      <c r="GH140" s="1">
        <v>1</v>
      </c>
      <c r="GI140" s="1">
        <v>1</v>
      </c>
      <c r="GJ140" s="1">
        <v>0</v>
      </c>
      <c r="GK140" s="1">
        <v>0</v>
      </c>
      <c r="GL140" s="1">
        <v>1</v>
      </c>
      <c r="GM140" s="1">
        <v>0</v>
      </c>
      <c r="GN140" s="1">
        <v>1</v>
      </c>
      <c r="GO140" s="1">
        <v>1</v>
      </c>
      <c r="GP140" s="1">
        <v>0</v>
      </c>
      <c r="GQ140" s="1">
        <v>1</v>
      </c>
      <c r="GR140" s="1">
        <v>0</v>
      </c>
      <c r="GS140" s="1">
        <v>0</v>
      </c>
      <c r="GT140" s="1">
        <v>1</v>
      </c>
      <c r="GU140" s="1">
        <v>1</v>
      </c>
      <c r="GV140" s="1">
        <v>1</v>
      </c>
      <c r="GW140" s="1">
        <v>1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1</v>
      </c>
      <c r="HD140" s="1">
        <v>1</v>
      </c>
      <c r="HE140" s="1">
        <v>0</v>
      </c>
      <c r="HF140" s="1">
        <v>0</v>
      </c>
    </row>
    <row r="141" spans="1:214" x14ac:dyDescent="0.2">
      <c r="A141" s="1" t="s">
        <v>568</v>
      </c>
      <c r="B141" s="1" t="s">
        <v>568</v>
      </c>
      <c r="D141" s="1" t="s">
        <v>569</v>
      </c>
      <c r="E141" s="1" t="s">
        <v>215</v>
      </c>
      <c r="F141" s="1">
        <v>0</v>
      </c>
      <c r="G141" s="1" t="s">
        <v>222</v>
      </c>
      <c r="H141" s="1" t="s">
        <v>223</v>
      </c>
      <c r="I141" s="1" t="s">
        <v>222</v>
      </c>
      <c r="J141" s="1">
        <v>688</v>
      </c>
      <c r="K141" s="1" t="s">
        <v>23</v>
      </c>
      <c r="L141" s="1" t="s">
        <v>254</v>
      </c>
      <c r="M141" s="1" t="s">
        <v>13</v>
      </c>
      <c r="N141" s="1">
        <f>IF(Regions_master[[#This Row],[Forecaster]]=Regions_master[[#Headers],[Grigor]],1,0)</f>
        <v>1</v>
      </c>
      <c r="O141" s="1">
        <f>IF(Regions_master[[#This Row],[Forecaster]]=Regions_master[[#Headers],[Ingo]],1,0)</f>
        <v>0</v>
      </c>
      <c r="P141" s="1">
        <f>IF(Regions_master[[#This Row],[Forecaster]]=Regions_master[[#Headers],[Danyira]],1,0)</f>
        <v>0</v>
      </c>
      <c r="Q141" s="1">
        <f>IF(Regions_master[[#This Row],[Forecaster]]=Regions_master[[#Headers],[Sebastian]],1,0)</f>
        <v>0</v>
      </c>
      <c r="R141" s="1">
        <f>IF(Regions_master[[#This Row],[Forecaster]]=Regions_master[[#Headers],[Yasu]],1,0)</f>
        <v>0</v>
      </c>
      <c r="S141" s="1">
        <f>IF(Regions_master[[#This Row],[Forecaster]]=Regions_master[[#Headers],[Zhenqian]],1,0)</f>
        <v>0</v>
      </c>
      <c r="T141" s="1">
        <f>IF(Regions_master[[#This Row],[Forecaster]]=Regions_master[[#Headers],[Berna]],1,0)</f>
        <v>0</v>
      </c>
      <c r="U141" s="1">
        <f>IF(Regions_master[[#This Row],[Forecaster]]=Regions_master[[#Headers],[Julian]],1,0)</f>
        <v>0</v>
      </c>
      <c r="V141" s="1">
        <f>IF(Regions_master[[#This Row],[Forecaster]]=Regions_master[[#Headers],[Katarzyna]],1,0)</f>
        <v>0</v>
      </c>
      <c r="W141" s="1">
        <v>1</v>
      </c>
      <c r="X141" s="1">
        <v>0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1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1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1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1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1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1</v>
      </c>
      <c r="FA141" s="1">
        <v>1</v>
      </c>
      <c r="FB141" s="1">
        <v>0</v>
      </c>
      <c r="FC141" s="1">
        <v>0</v>
      </c>
      <c r="FD141" s="1">
        <v>1</v>
      </c>
      <c r="FE141" s="1">
        <v>1</v>
      </c>
      <c r="FF141" s="1">
        <v>1</v>
      </c>
      <c r="FG141" s="1">
        <v>1</v>
      </c>
      <c r="FH141" s="1">
        <v>1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1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1</v>
      </c>
      <c r="GU141" s="1">
        <v>1</v>
      </c>
      <c r="GV141" s="1">
        <v>1</v>
      </c>
      <c r="GW141" s="1">
        <v>1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1</v>
      </c>
      <c r="HD141" s="1">
        <v>1</v>
      </c>
      <c r="HE141" s="1">
        <v>1</v>
      </c>
      <c r="HF141" s="1">
        <v>0</v>
      </c>
    </row>
    <row r="142" spans="1:214" x14ac:dyDescent="0.2">
      <c r="A142" s="1" t="s">
        <v>570</v>
      </c>
      <c r="B142" s="1" t="s">
        <v>571</v>
      </c>
      <c r="D142" s="1" t="s">
        <v>572</v>
      </c>
      <c r="E142" s="1" t="s">
        <v>215</v>
      </c>
      <c r="F142" s="1">
        <v>0</v>
      </c>
      <c r="G142" s="1" t="s">
        <v>227</v>
      </c>
      <c r="H142" s="1" t="s">
        <v>280</v>
      </c>
      <c r="I142" s="1" t="s">
        <v>281</v>
      </c>
      <c r="J142" s="1">
        <v>694</v>
      </c>
      <c r="K142" s="1" t="s">
        <v>24</v>
      </c>
      <c r="L142" s="1" t="s">
        <v>261</v>
      </c>
      <c r="M142" s="1" t="s">
        <v>19</v>
      </c>
      <c r="N142" s="1">
        <f>IF(Regions_master[[#This Row],[Forecaster]]=Regions_master[[#Headers],[Grigor]],1,0)</f>
        <v>0</v>
      </c>
      <c r="O142" s="1">
        <f>IF(Regions_master[[#This Row],[Forecaster]]=Regions_master[[#Headers],[Ingo]],1,0)</f>
        <v>0</v>
      </c>
      <c r="P142" s="1">
        <f>IF(Regions_master[[#This Row],[Forecaster]]=Regions_master[[#Headers],[Danyira]],1,0)</f>
        <v>0</v>
      </c>
      <c r="Q142" s="1">
        <f>IF(Regions_master[[#This Row],[Forecaster]]=Regions_master[[#Headers],[Sebastian]],1,0)</f>
        <v>0</v>
      </c>
      <c r="R142" s="1">
        <f>IF(Regions_master[[#This Row],[Forecaster]]=Regions_master[[#Headers],[Yasu]],1,0)</f>
        <v>0</v>
      </c>
      <c r="S142" s="1">
        <f>IF(Regions_master[[#This Row],[Forecaster]]=Regions_master[[#Headers],[Zhenqian]],1,0)</f>
        <v>0</v>
      </c>
      <c r="T142" s="1">
        <f>IF(Regions_master[[#This Row],[Forecaster]]=Regions_master[[#Headers],[Berna]],1,0)</f>
        <v>0</v>
      </c>
      <c r="U142" s="1">
        <f>IF(Regions_master[[#This Row],[Forecaster]]=Regions_master[[#Headers],[Julian]],1,0)</f>
        <v>1</v>
      </c>
      <c r="V142" s="1">
        <f>IF(Regions_master[[#This Row],[Forecaster]]=Regions_master[[#Headers],[Katarzyna]],1,0)</f>
        <v>0</v>
      </c>
      <c r="W142" s="1">
        <v>1</v>
      </c>
      <c r="X142" s="1">
        <v>0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</v>
      </c>
      <c r="AO142" s="1">
        <v>0</v>
      </c>
      <c r="AP142" s="1">
        <v>0</v>
      </c>
      <c r="AQ142" s="1">
        <v>0</v>
      </c>
      <c r="AR142" s="1">
        <v>0</v>
      </c>
      <c r="AS142" s="1">
        <v>1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1</v>
      </c>
      <c r="BH142" s="1">
        <v>1</v>
      </c>
      <c r="BI142" s="1">
        <v>1</v>
      </c>
      <c r="BJ142" s="1">
        <v>1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1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1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1</v>
      </c>
      <c r="CQ142" s="1">
        <v>0</v>
      </c>
      <c r="CR142" s="1">
        <v>0</v>
      </c>
      <c r="CS142" s="1">
        <v>0</v>
      </c>
      <c r="CT142" s="1">
        <v>0</v>
      </c>
      <c r="CU142" s="1">
        <v>1</v>
      </c>
      <c r="CV142" s="1">
        <v>1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1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1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1</v>
      </c>
      <c r="DQ142" s="1">
        <v>1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1</v>
      </c>
      <c r="DZ142" s="1">
        <v>0</v>
      </c>
      <c r="EA142" s="1">
        <v>0</v>
      </c>
      <c r="EB142" s="1">
        <v>0</v>
      </c>
      <c r="EC142" s="1">
        <v>0</v>
      </c>
      <c r="ED142" s="1">
        <v>1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1</v>
      </c>
      <c r="EK142" s="1">
        <v>1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1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1</v>
      </c>
      <c r="EY142" s="1">
        <v>0</v>
      </c>
      <c r="EZ142" s="1">
        <v>0</v>
      </c>
      <c r="FA142" s="1">
        <v>1</v>
      </c>
      <c r="FB142" s="1">
        <v>0</v>
      </c>
      <c r="FC142" s="1">
        <v>0</v>
      </c>
      <c r="FD142" s="1">
        <v>1</v>
      </c>
      <c r="FE142" s="1">
        <v>1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 s="1">
        <v>0</v>
      </c>
      <c r="FN142" s="1">
        <v>0</v>
      </c>
      <c r="FO142" s="1">
        <v>0</v>
      </c>
      <c r="FP142" s="1">
        <v>1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1</v>
      </c>
      <c r="FY142" s="1">
        <v>0</v>
      </c>
      <c r="FZ142" s="1">
        <v>0</v>
      </c>
      <c r="GA142" s="1">
        <v>0</v>
      </c>
      <c r="GB142" s="1">
        <v>0</v>
      </c>
      <c r="GC142" s="1">
        <v>1</v>
      </c>
      <c r="GD142" s="1">
        <v>0</v>
      </c>
      <c r="GE142" s="1">
        <v>0</v>
      </c>
      <c r="GF142" s="1">
        <v>0</v>
      </c>
      <c r="GG142" s="1">
        <v>1</v>
      </c>
      <c r="GH142" s="1">
        <v>1</v>
      </c>
      <c r="GI142" s="1">
        <v>0</v>
      </c>
      <c r="GJ142" s="1">
        <v>0</v>
      </c>
      <c r="GK142" s="1">
        <v>0</v>
      </c>
      <c r="GL142" s="1">
        <v>0</v>
      </c>
      <c r="GM142" s="1">
        <v>1</v>
      </c>
      <c r="GN142" s="1">
        <v>1</v>
      </c>
      <c r="GO142" s="1">
        <v>1</v>
      </c>
      <c r="GP142" s="1">
        <v>0</v>
      </c>
      <c r="GQ142" s="1">
        <v>1</v>
      </c>
      <c r="GR142" s="1">
        <v>0</v>
      </c>
      <c r="GS142" s="1">
        <v>1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</row>
    <row r="143" spans="1:214" x14ac:dyDescent="0.2">
      <c r="A143" s="1" t="s">
        <v>573</v>
      </c>
      <c r="B143" s="1" t="s">
        <v>573</v>
      </c>
      <c r="D143" s="1" t="s">
        <v>484</v>
      </c>
      <c r="E143" s="1" t="s">
        <v>215</v>
      </c>
      <c r="F143" s="1">
        <v>0</v>
      </c>
      <c r="G143" s="1" t="s">
        <v>216</v>
      </c>
      <c r="H143" s="1" t="s">
        <v>296</v>
      </c>
      <c r="I143" s="1" t="s">
        <v>297</v>
      </c>
      <c r="J143" s="1">
        <v>702</v>
      </c>
      <c r="K143" s="1" t="s">
        <v>24</v>
      </c>
      <c r="L143" s="1" t="s">
        <v>235</v>
      </c>
      <c r="M143" s="1" t="s">
        <v>299</v>
      </c>
      <c r="N143" s="1">
        <f>IF(Regions_master[[#This Row],[Forecaster]]=Regions_master[[#Headers],[Grigor]],1,0)</f>
        <v>0</v>
      </c>
      <c r="O143" s="1">
        <f>IF(Regions_master[[#This Row],[Forecaster]]=Regions_master[[#Headers],[Ingo]],1,0)</f>
        <v>0</v>
      </c>
      <c r="P143" s="1">
        <f>IF(Regions_master[[#This Row],[Forecaster]]=Regions_master[[#Headers],[Danyira]],1,0)</f>
        <v>0</v>
      </c>
      <c r="Q143" s="1">
        <f>IF(Regions_master[[#This Row],[Forecaster]]=Regions_master[[#Headers],[Sebastian]],1,0)</f>
        <v>0</v>
      </c>
      <c r="R143" s="1">
        <f>IF(Regions_master[[#This Row],[Forecaster]]=Regions_master[[#Headers],[Yasu]],1,0)</f>
        <v>0</v>
      </c>
      <c r="S143" s="1">
        <f>IF(Regions_master[[#This Row],[Forecaster]]=Regions_master[[#Headers],[Zhenqian]],1,0)</f>
        <v>1</v>
      </c>
      <c r="T143" s="1">
        <f>IF(Regions_master[[#This Row],[Forecaster]]=Regions_master[[#Headers],[Berna]],1,0)</f>
        <v>0</v>
      </c>
      <c r="U143" s="1">
        <f>IF(Regions_master[[#This Row],[Forecaster]]=Regions_master[[#Headers],[Julian]],1,0)</f>
        <v>0</v>
      </c>
      <c r="V143" s="1">
        <f>IF(Regions_master[[#This Row],[Forecaster]]=Regions_master[[#Headers],[Katarzyna]],1,0)</f>
        <v>0</v>
      </c>
      <c r="W143" s="1">
        <v>1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</v>
      </c>
      <c r="AU143" s="1">
        <v>1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1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1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1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1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1</v>
      </c>
      <c r="DD143" s="1">
        <v>0</v>
      </c>
      <c r="DE143" s="1">
        <v>1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1</v>
      </c>
      <c r="DM143" s="1">
        <v>0</v>
      </c>
      <c r="DN143" s="1">
        <v>0</v>
      </c>
      <c r="DO143" s="1">
        <v>0</v>
      </c>
      <c r="DP143" s="1">
        <v>1</v>
      </c>
      <c r="DQ143" s="1">
        <v>1</v>
      </c>
      <c r="DR143" s="1">
        <v>0</v>
      </c>
      <c r="DS143" s="1">
        <v>0</v>
      </c>
      <c r="DT143" s="1">
        <v>0</v>
      </c>
      <c r="DU143" s="1">
        <v>1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1</v>
      </c>
      <c r="ED143" s="1">
        <v>0</v>
      </c>
      <c r="EE143" s="1">
        <v>0</v>
      </c>
      <c r="EF143" s="1">
        <v>1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1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1</v>
      </c>
      <c r="FC143" s="1">
        <v>0</v>
      </c>
      <c r="FD143" s="1">
        <v>1</v>
      </c>
      <c r="FE143" s="1">
        <v>1</v>
      </c>
      <c r="FF143" s="1">
        <v>1</v>
      </c>
      <c r="FG143" s="1">
        <v>1</v>
      </c>
      <c r="FH143" s="1">
        <v>1</v>
      </c>
      <c r="FI143" s="1">
        <v>1</v>
      </c>
      <c r="FJ143" s="1">
        <v>1</v>
      </c>
      <c r="FK143" s="1">
        <v>1</v>
      </c>
      <c r="FL143" s="1">
        <v>1</v>
      </c>
      <c r="FM143" s="1">
        <v>0</v>
      </c>
      <c r="FN143" s="1">
        <v>0</v>
      </c>
      <c r="FO143" s="1">
        <v>0</v>
      </c>
      <c r="FP143" s="1">
        <v>0</v>
      </c>
      <c r="FQ143" s="1">
        <v>1</v>
      </c>
      <c r="FR143" s="1">
        <v>0</v>
      </c>
      <c r="FS143" s="1">
        <v>1</v>
      </c>
      <c r="FT143" s="1">
        <v>1</v>
      </c>
      <c r="FU143" s="1">
        <v>0</v>
      </c>
      <c r="FV143" s="1">
        <v>0</v>
      </c>
      <c r="FW143" s="1">
        <v>0</v>
      </c>
      <c r="FX143" s="1">
        <v>0</v>
      </c>
      <c r="FY143" s="1">
        <v>1</v>
      </c>
      <c r="FZ143" s="1">
        <v>0</v>
      </c>
      <c r="GA143" s="1">
        <v>0</v>
      </c>
      <c r="GB143" s="1">
        <v>0</v>
      </c>
      <c r="GC143" s="1">
        <v>0</v>
      </c>
      <c r="GD143" s="1">
        <v>1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1</v>
      </c>
      <c r="GK143" s="1">
        <v>0</v>
      </c>
      <c r="GL143" s="1">
        <v>0</v>
      </c>
      <c r="GM143" s="1">
        <v>0</v>
      </c>
      <c r="GN143" s="1">
        <v>1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1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</row>
    <row r="144" spans="1:214" x14ac:dyDescent="0.2">
      <c r="A144" s="1" t="s">
        <v>574</v>
      </c>
      <c r="B144" s="1" t="s">
        <v>574</v>
      </c>
      <c r="D144" s="1" t="s">
        <v>575</v>
      </c>
      <c r="E144" s="1" t="s">
        <v>215</v>
      </c>
      <c r="F144" s="1">
        <v>0</v>
      </c>
      <c r="G144" s="1" t="s">
        <v>251</v>
      </c>
      <c r="H144" s="1" t="s">
        <v>252</v>
      </c>
      <c r="I144" s="1" t="s">
        <v>253</v>
      </c>
      <c r="J144" s="1">
        <v>703</v>
      </c>
      <c r="K144" s="1" t="s">
        <v>22</v>
      </c>
      <c r="L144" s="1" t="s">
        <v>254</v>
      </c>
      <c r="M144" s="1" t="s">
        <v>13</v>
      </c>
      <c r="N144" s="1">
        <f>IF(Regions_master[[#This Row],[Forecaster]]=Regions_master[[#Headers],[Grigor]],1,0)</f>
        <v>1</v>
      </c>
      <c r="O144" s="1">
        <f>IF(Regions_master[[#This Row],[Forecaster]]=Regions_master[[#Headers],[Ingo]],1,0)</f>
        <v>0</v>
      </c>
      <c r="P144" s="1">
        <f>IF(Regions_master[[#This Row],[Forecaster]]=Regions_master[[#Headers],[Danyira]],1,0)</f>
        <v>0</v>
      </c>
      <c r="Q144" s="1">
        <f>IF(Regions_master[[#This Row],[Forecaster]]=Regions_master[[#Headers],[Sebastian]],1,0)</f>
        <v>0</v>
      </c>
      <c r="R144" s="1">
        <f>IF(Regions_master[[#This Row],[Forecaster]]=Regions_master[[#Headers],[Yasu]],1,0)</f>
        <v>0</v>
      </c>
      <c r="S144" s="1">
        <f>IF(Regions_master[[#This Row],[Forecaster]]=Regions_master[[#Headers],[Zhenqian]],1,0)</f>
        <v>0</v>
      </c>
      <c r="T144" s="1">
        <f>IF(Regions_master[[#This Row],[Forecaster]]=Regions_master[[#Headers],[Berna]],1,0)</f>
        <v>0</v>
      </c>
      <c r="U144" s="1">
        <f>IF(Regions_master[[#This Row],[Forecaster]]=Regions_master[[#Headers],[Julian]],1,0)</f>
        <v>0</v>
      </c>
      <c r="V144" s="1">
        <f>IF(Regions_master[[#This Row],[Forecaster]]=Regions_master[[#Headers],[Katarzyna]],1,0)</f>
        <v>0</v>
      </c>
      <c r="W144" s="1">
        <v>1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0</v>
      </c>
      <c r="AI144" s="1">
        <v>0</v>
      </c>
      <c r="AJ144" s="1">
        <v>0</v>
      </c>
      <c r="AK144" s="1">
        <v>1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1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1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1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1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1</v>
      </c>
      <c r="ED144" s="1">
        <v>0</v>
      </c>
      <c r="EE144" s="1">
        <v>0</v>
      </c>
      <c r="EF144" s="1">
        <v>1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1</v>
      </c>
      <c r="FB144" s="1">
        <v>1</v>
      </c>
      <c r="FC144" s="1">
        <v>0</v>
      </c>
      <c r="FD144" s="1">
        <v>1</v>
      </c>
      <c r="FE144" s="1">
        <v>1</v>
      </c>
      <c r="FF144" s="1">
        <v>1</v>
      </c>
      <c r="FG144" s="1">
        <v>1</v>
      </c>
      <c r="FH144" s="1">
        <v>1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1</v>
      </c>
      <c r="FO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1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</row>
    <row r="145" spans="1:214" x14ac:dyDescent="0.2">
      <c r="A145" s="1" t="s">
        <v>576</v>
      </c>
      <c r="B145" s="1" t="s">
        <v>576</v>
      </c>
      <c r="D145" s="1" t="s">
        <v>577</v>
      </c>
      <c r="E145" s="1" t="s">
        <v>215</v>
      </c>
      <c r="F145" s="1">
        <v>0</v>
      </c>
      <c r="G145" s="1" t="s">
        <v>251</v>
      </c>
      <c r="H145" s="1" t="s">
        <v>252</v>
      </c>
      <c r="I145" s="1" t="s">
        <v>253</v>
      </c>
      <c r="J145" s="1">
        <v>705</v>
      </c>
      <c r="K145" s="1" t="s">
        <v>22</v>
      </c>
      <c r="L145" s="1" t="s">
        <v>254</v>
      </c>
      <c r="M145" s="1" t="s">
        <v>13</v>
      </c>
      <c r="N145" s="1">
        <f>IF(Regions_master[[#This Row],[Forecaster]]=Regions_master[[#Headers],[Grigor]],1,0)</f>
        <v>1</v>
      </c>
      <c r="O145" s="1">
        <f>IF(Regions_master[[#This Row],[Forecaster]]=Regions_master[[#Headers],[Ingo]],1,0)</f>
        <v>0</v>
      </c>
      <c r="P145" s="1">
        <f>IF(Regions_master[[#This Row],[Forecaster]]=Regions_master[[#Headers],[Danyira]],1,0)</f>
        <v>0</v>
      </c>
      <c r="Q145" s="1">
        <f>IF(Regions_master[[#This Row],[Forecaster]]=Regions_master[[#Headers],[Sebastian]],1,0)</f>
        <v>0</v>
      </c>
      <c r="R145" s="1">
        <f>IF(Regions_master[[#This Row],[Forecaster]]=Regions_master[[#Headers],[Yasu]],1,0)</f>
        <v>0</v>
      </c>
      <c r="S145" s="1">
        <f>IF(Regions_master[[#This Row],[Forecaster]]=Regions_master[[#Headers],[Zhenqian]],1,0)</f>
        <v>0</v>
      </c>
      <c r="T145" s="1">
        <f>IF(Regions_master[[#This Row],[Forecaster]]=Regions_master[[#Headers],[Berna]],1,0)</f>
        <v>0</v>
      </c>
      <c r="U145" s="1">
        <f>IF(Regions_master[[#This Row],[Forecaster]]=Regions_master[[#Headers],[Julian]],1,0)</f>
        <v>0</v>
      </c>
      <c r="V145" s="1">
        <f>IF(Regions_master[[#This Row],[Forecaster]]=Regions_master[[#Headers],[Katarzyna]],1,0)</f>
        <v>0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0</v>
      </c>
      <c r="AI145" s="1">
        <v>0</v>
      </c>
      <c r="AJ145" s="1">
        <v>0</v>
      </c>
      <c r="AK145" s="1">
        <v>1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1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1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1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1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1</v>
      </c>
      <c r="ED145" s="1">
        <v>0</v>
      </c>
      <c r="EE145" s="1">
        <v>0</v>
      </c>
      <c r="EF145" s="1">
        <v>1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1</v>
      </c>
      <c r="FB145" s="1">
        <v>1</v>
      </c>
      <c r="FC145" s="1">
        <v>0</v>
      </c>
      <c r="FD145" s="1">
        <v>1</v>
      </c>
      <c r="FE145" s="1">
        <v>1</v>
      </c>
      <c r="FF145" s="1">
        <v>1</v>
      </c>
      <c r="FG145" s="1">
        <v>1</v>
      </c>
      <c r="FH145" s="1">
        <v>1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1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</row>
    <row r="146" spans="1:214" x14ac:dyDescent="0.2">
      <c r="A146" s="1" t="s">
        <v>578</v>
      </c>
      <c r="B146" s="1" t="s">
        <v>579</v>
      </c>
      <c r="D146" s="1" t="s">
        <v>580</v>
      </c>
      <c r="E146" s="1" t="s">
        <v>215</v>
      </c>
      <c r="F146" s="1">
        <v>0</v>
      </c>
      <c r="G146" s="1" t="s">
        <v>216</v>
      </c>
      <c r="H146" s="1" t="s">
        <v>296</v>
      </c>
      <c r="I146" s="1" t="s">
        <v>297</v>
      </c>
      <c r="J146" s="1">
        <v>90</v>
      </c>
      <c r="K146" s="1" t="s">
        <v>24</v>
      </c>
      <c r="L146" s="1" t="s">
        <v>235</v>
      </c>
      <c r="M146" s="1" t="s">
        <v>15</v>
      </c>
      <c r="N146" s="1">
        <f>IF(Regions_master[[#This Row],[Forecaster]]=Regions_master[[#Headers],[Grigor]],1,0)</f>
        <v>0</v>
      </c>
      <c r="O146" s="1">
        <f>IF(Regions_master[[#This Row],[Forecaster]]=Regions_master[[#Headers],[Ingo]],1,0)</f>
        <v>0</v>
      </c>
      <c r="P146" s="1">
        <f>IF(Regions_master[[#This Row],[Forecaster]]=Regions_master[[#Headers],[Danyira]],1,0)</f>
        <v>1</v>
      </c>
      <c r="Q146" s="1">
        <f>IF(Regions_master[[#This Row],[Forecaster]]=Regions_master[[#Headers],[Sebastian]],1,0)</f>
        <v>0</v>
      </c>
      <c r="R146" s="1">
        <f>IF(Regions_master[[#This Row],[Forecaster]]=Regions_master[[#Headers],[Yasu]],1,0)</f>
        <v>0</v>
      </c>
      <c r="S146" s="1">
        <f>IF(Regions_master[[#This Row],[Forecaster]]=Regions_master[[#Headers],[Zhenqian]],1,0)</f>
        <v>0</v>
      </c>
      <c r="T146" s="1">
        <f>IF(Regions_master[[#This Row],[Forecaster]]=Regions_master[[#Headers],[Berna]],1,0)</f>
        <v>0</v>
      </c>
      <c r="U146" s="1">
        <f>IF(Regions_master[[#This Row],[Forecaster]]=Regions_master[[#Headers],[Julian]],1,0)</f>
        <v>0</v>
      </c>
      <c r="V146" s="1">
        <f>IF(Regions_master[[#This Row],[Forecaster]]=Regions_master[[#Headers],[Katarzyna]],1,0)</f>
        <v>0</v>
      </c>
      <c r="W146" s="1">
        <v>1</v>
      </c>
      <c r="X146" s="1">
        <v>0</v>
      </c>
      <c r="Y146" s="1">
        <v>0</v>
      </c>
      <c r="Z146" s="1">
        <v>1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1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</v>
      </c>
      <c r="BG146" s="1">
        <v>0</v>
      </c>
      <c r="BH146" s="1">
        <v>1</v>
      </c>
      <c r="BI146" s="1">
        <v>0</v>
      </c>
      <c r="BJ146" s="1">
        <v>0</v>
      </c>
      <c r="BK146" s="1">
        <v>0</v>
      </c>
      <c r="BL146" s="1">
        <v>1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1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1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1</v>
      </c>
      <c r="CV146" s="1">
        <v>1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1</v>
      </c>
      <c r="DD146" s="1">
        <v>0</v>
      </c>
      <c r="DE146" s="1">
        <v>1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1</v>
      </c>
      <c r="DM146" s="1">
        <v>0</v>
      </c>
      <c r="DN146" s="1">
        <v>0</v>
      </c>
      <c r="DO146" s="1">
        <v>0</v>
      </c>
      <c r="DP146" s="1">
        <v>1</v>
      </c>
      <c r="DQ146" s="1">
        <v>1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1</v>
      </c>
      <c r="ED146" s="1">
        <v>0</v>
      </c>
      <c r="EE146" s="1">
        <v>0</v>
      </c>
      <c r="EF146" s="1">
        <v>0</v>
      </c>
      <c r="EG146" s="1">
        <v>1</v>
      </c>
      <c r="EH146" s="1">
        <v>0</v>
      </c>
      <c r="EI146" s="1">
        <v>1</v>
      </c>
      <c r="EJ146" s="1">
        <v>1</v>
      </c>
      <c r="EK146" s="1">
        <v>0</v>
      </c>
      <c r="EL146" s="1">
        <v>0</v>
      </c>
      <c r="EM146" s="1">
        <v>0</v>
      </c>
      <c r="EN146" s="1">
        <v>1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1</v>
      </c>
      <c r="FE146" s="1">
        <v>1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1</v>
      </c>
      <c r="FM146" s="1">
        <v>0</v>
      </c>
      <c r="FN146" s="1">
        <v>0</v>
      </c>
      <c r="FO146" s="1">
        <v>0</v>
      </c>
      <c r="FP146" s="1">
        <v>0</v>
      </c>
      <c r="FQ146" s="1">
        <v>1</v>
      </c>
      <c r="FR146" s="1">
        <v>0</v>
      </c>
      <c r="FS146" s="1">
        <v>1</v>
      </c>
      <c r="FT146" s="1">
        <v>1</v>
      </c>
      <c r="FU146" s="1">
        <v>0</v>
      </c>
      <c r="FV146" s="1">
        <v>0</v>
      </c>
      <c r="FW146" s="1">
        <v>0</v>
      </c>
      <c r="FX146" s="1">
        <v>0</v>
      </c>
      <c r="FY146" s="1">
        <v>1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1</v>
      </c>
      <c r="GI146" s="1">
        <v>1</v>
      </c>
      <c r="GJ146" s="1">
        <v>0</v>
      </c>
      <c r="GK146" s="1">
        <v>0</v>
      </c>
      <c r="GL146" s="1">
        <v>1</v>
      </c>
      <c r="GM146" s="1">
        <v>0</v>
      </c>
      <c r="GN146" s="1">
        <v>1</v>
      </c>
      <c r="GO146" s="1">
        <v>1</v>
      </c>
      <c r="GP146" s="1">
        <v>0</v>
      </c>
      <c r="GQ146" s="1">
        <v>0</v>
      </c>
      <c r="GR146" s="1">
        <v>0</v>
      </c>
      <c r="GS146" s="1">
        <v>0</v>
      </c>
      <c r="GT146" s="1">
        <v>1</v>
      </c>
      <c r="GU146" s="1">
        <v>1</v>
      </c>
      <c r="GV146" s="1">
        <v>1</v>
      </c>
      <c r="GW146" s="1">
        <v>1</v>
      </c>
      <c r="GX146" s="1">
        <v>1</v>
      </c>
      <c r="GY146" s="1">
        <v>0</v>
      </c>
      <c r="GZ146" s="1">
        <v>0</v>
      </c>
      <c r="HA146" s="1">
        <v>0</v>
      </c>
      <c r="HB146" s="1">
        <v>0</v>
      </c>
      <c r="HC146" s="1">
        <v>1</v>
      </c>
      <c r="HD146" s="1">
        <v>1</v>
      </c>
      <c r="HE146" s="1">
        <v>0</v>
      </c>
      <c r="HF146" s="1">
        <v>0</v>
      </c>
    </row>
    <row r="147" spans="1:214" x14ac:dyDescent="0.2">
      <c r="A147" s="1" t="s">
        <v>581</v>
      </c>
      <c r="B147" s="1" t="s">
        <v>581</v>
      </c>
      <c r="D147" s="1" t="s">
        <v>582</v>
      </c>
      <c r="E147" s="1" t="s">
        <v>215</v>
      </c>
      <c r="F147" s="1">
        <v>0</v>
      </c>
      <c r="G147" s="1" t="s">
        <v>227</v>
      </c>
      <c r="H147" s="1" t="s">
        <v>308</v>
      </c>
      <c r="I147" s="1" t="s">
        <v>309</v>
      </c>
      <c r="J147" s="1">
        <v>706</v>
      </c>
      <c r="K147" s="1" t="s">
        <v>24</v>
      </c>
      <c r="L147" s="1" t="s">
        <v>266</v>
      </c>
      <c r="M147" s="1" t="s">
        <v>19</v>
      </c>
      <c r="N147" s="1">
        <f>IF(Regions_master[[#This Row],[Forecaster]]=Regions_master[[#Headers],[Grigor]],1,0)</f>
        <v>0</v>
      </c>
      <c r="O147" s="1">
        <f>IF(Regions_master[[#This Row],[Forecaster]]=Regions_master[[#Headers],[Ingo]],1,0)</f>
        <v>0</v>
      </c>
      <c r="P147" s="1">
        <f>IF(Regions_master[[#This Row],[Forecaster]]=Regions_master[[#Headers],[Danyira]],1,0)</f>
        <v>0</v>
      </c>
      <c r="Q147" s="1">
        <f>IF(Regions_master[[#This Row],[Forecaster]]=Regions_master[[#Headers],[Sebastian]],1,0)</f>
        <v>0</v>
      </c>
      <c r="R147" s="1">
        <f>IF(Regions_master[[#This Row],[Forecaster]]=Regions_master[[#Headers],[Yasu]],1,0)</f>
        <v>0</v>
      </c>
      <c r="S147" s="1">
        <f>IF(Regions_master[[#This Row],[Forecaster]]=Regions_master[[#Headers],[Zhenqian]],1,0)</f>
        <v>0</v>
      </c>
      <c r="T147" s="1">
        <f>IF(Regions_master[[#This Row],[Forecaster]]=Regions_master[[#Headers],[Berna]],1,0)</f>
        <v>0</v>
      </c>
      <c r="U147" s="1">
        <f>IF(Regions_master[[#This Row],[Forecaster]]=Regions_master[[#Headers],[Julian]],1,0)</f>
        <v>1</v>
      </c>
      <c r="V147" s="1">
        <f>IF(Regions_master[[#This Row],[Forecaster]]=Regions_master[[#Headers],[Katarzyna]],1,0)</f>
        <v>0</v>
      </c>
      <c r="W147" s="1">
        <v>1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0</v>
      </c>
      <c r="AP147" s="1">
        <v>0</v>
      </c>
      <c r="AQ147" s="1">
        <v>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1</v>
      </c>
      <c r="BH147" s="1">
        <v>1</v>
      </c>
      <c r="BI147" s="1">
        <v>1</v>
      </c>
      <c r="BJ147" s="1">
        <v>1</v>
      </c>
      <c r="BK147" s="1">
        <v>0</v>
      </c>
      <c r="BL147" s="1">
        <v>0</v>
      </c>
      <c r="BM147" s="1">
        <v>0</v>
      </c>
      <c r="BN147" s="1">
        <v>1</v>
      </c>
      <c r="BO147" s="1">
        <v>0</v>
      </c>
      <c r="BP147" s="1">
        <v>0</v>
      </c>
      <c r="BQ147" s="1">
        <v>1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1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1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1</v>
      </c>
      <c r="CV147" s="1">
        <v>1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1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1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1</v>
      </c>
      <c r="DQ147" s="1">
        <v>1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</v>
      </c>
      <c r="EA147" s="1">
        <v>0</v>
      </c>
      <c r="EB147" s="1">
        <v>0</v>
      </c>
      <c r="EC147" s="1">
        <v>0</v>
      </c>
      <c r="ED147" s="1">
        <v>1</v>
      </c>
      <c r="EE147" s="1">
        <v>0</v>
      </c>
      <c r="EF147" s="1">
        <v>0</v>
      </c>
      <c r="EG147" s="1">
        <v>1</v>
      </c>
      <c r="EH147" s="1">
        <v>0</v>
      </c>
      <c r="EI147" s="1">
        <v>0</v>
      </c>
      <c r="EJ147" s="1">
        <v>1</v>
      </c>
      <c r="EK147" s="1">
        <v>1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1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1</v>
      </c>
      <c r="FB147" s="1">
        <v>0</v>
      </c>
      <c r="FC147" s="1">
        <v>0</v>
      </c>
      <c r="FD147" s="1">
        <v>1</v>
      </c>
      <c r="FE147" s="1">
        <v>1</v>
      </c>
      <c r="FF147" s="1">
        <v>1</v>
      </c>
      <c r="FG147" s="1">
        <v>1</v>
      </c>
      <c r="FH147" s="1">
        <v>1</v>
      </c>
      <c r="FI147" s="1">
        <v>1</v>
      </c>
      <c r="FJ147" s="1">
        <v>1</v>
      </c>
      <c r="FK147" s="1">
        <v>1</v>
      </c>
      <c r="FL147" s="1">
        <v>1</v>
      </c>
      <c r="FM147" s="1">
        <v>0</v>
      </c>
      <c r="FN147" s="1">
        <v>0</v>
      </c>
      <c r="FO147" s="1">
        <v>0</v>
      </c>
      <c r="FP147" s="1">
        <v>1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1</v>
      </c>
      <c r="FY147" s="1">
        <v>0</v>
      </c>
      <c r="FZ147" s="1">
        <v>0</v>
      </c>
      <c r="GA147" s="1">
        <v>0</v>
      </c>
      <c r="GB147" s="1">
        <v>0</v>
      </c>
      <c r="GC147" s="1">
        <v>1</v>
      </c>
      <c r="GD147" s="1">
        <v>0</v>
      </c>
      <c r="GE147" s="1">
        <v>0</v>
      </c>
      <c r="GF147" s="1">
        <v>0</v>
      </c>
      <c r="GG147" s="1">
        <v>1</v>
      </c>
      <c r="GH147" s="1">
        <v>1</v>
      </c>
      <c r="GI147" s="1">
        <v>1</v>
      </c>
      <c r="GJ147" s="1">
        <v>0</v>
      </c>
      <c r="GK147" s="1">
        <v>0</v>
      </c>
      <c r="GL147" s="1">
        <v>0</v>
      </c>
      <c r="GM147" s="1">
        <v>1</v>
      </c>
      <c r="GN147" s="1">
        <v>1</v>
      </c>
      <c r="GO147" s="1">
        <v>1</v>
      </c>
      <c r="GP147" s="1">
        <v>1</v>
      </c>
      <c r="GQ147" s="1">
        <v>1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</row>
    <row r="148" spans="1:214" x14ac:dyDescent="0.2">
      <c r="A148" s="1" t="s">
        <v>583</v>
      </c>
      <c r="B148" s="1" t="s">
        <v>584</v>
      </c>
      <c r="D148" s="1" t="s">
        <v>389</v>
      </c>
      <c r="E148" s="1" t="s">
        <v>215</v>
      </c>
      <c r="F148" s="1">
        <v>0</v>
      </c>
      <c r="G148" s="1" t="s">
        <v>227</v>
      </c>
      <c r="H148" s="1" t="s">
        <v>233</v>
      </c>
      <c r="I148" s="1" t="s">
        <v>234</v>
      </c>
      <c r="J148" s="1">
        <v>710</v>
      </c>
      <c r="K148" s="1" t="s">
        <v>24</v>
      </c>
      <c r="L148" s="1" t="s">
        <v>235</v>
      </c>
      <c r="M148" s="1" t="s">
        <v>20</v>
      </c>
      <c r="N148" s="1">
        <f>IF(Regions_master[[#This Row],[Forecaster]]=Regions_master[[#Headers],[Grigor]],1,0)</f>
        <v>0</v>
      </c>
      <c r="O148" s="1">
        <f>IF(Regions_master[[#This Row],[Forecaster]]=Regions_master[[#Headers],[Ingo]],1,0)</f>
        <v>0</v>
      </c>
      <c r="P148" s="1">
        <f>IF(Regions_master[[#This Row],[Forecaster]]=Regions_master[[#Headers],[Danyira]],1,0)</f>
        <v>0</v>
      </c>
      <c r="Q148" s="1">
        <f>IF(Regions_master[[#This Row],[Forecaster]]=Regions_master[[#Headers],[Sebastian]],1,0)</f>
        <v>0</v>
      </c>
      <c r="R148" s="1">
        <f>IF(Regions_master[[#This Row],[Forecaster]]=Regions_master[[#Headers],[Yasu]],1,0)</f>
        <v>0</v>
      </c>
      <c r="S148" s="1">
        <f>IF(Regions_master[[#This Row],[Forecaster]]=Regions_master[[#Headers],[Zhenqian]],1,0)</f>
        <v>0</v>
      </c>
      <c r="T148" s="1">
        <f>IF(Regions_master[[#This Row],[Forecaster]]=Regions_master[[#Headers],[Berna]],1,0)</f>
        <v>0</v>
      </c>
      <c r="U148" s="1">
        <f>IF(Regions_master[[#This Row],[Forecaster]]=Regions_master[[#Headers],[Julian]],1,0)</f>
        <v>0</v>
      </c>
      <c r="V148" s="1">
        <f>IF(Regions_master[[#This Row],[Forecaster]]=Regions_master[[#Headers],[Katarzyna]],1,0)</f>
        <v>1</v>
      </c>
      <c r="W148" s="1">
        <v>1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1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1</v>
      </c>
      <c r="BP148" s="1">
        <v>1</v>
      </c>
      <c r="BQ148" s="1">
        <v>1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1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1</v>
      </c>
      <c r="CP148" s="1">
        <v>0</v>
      </c>
      <c r="CQ148" s="1">
        <v>0</v>
      </c>
      <c r="CR148" s="1">
        <v>0</v>
      </c>
      <c r="CS148" s="1">
        <v>0</v>
      </c>
      <c r="CT148" s="1">
        <v>1</v>
      </c>
      <c r="CU148" s="1">
        <v>1</v>
      </c>
      <c r="CV148" s="1">
        <v>1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1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1</v>
      </c>
      <c r="DQ148" s="1">
        <v>1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1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</v>
      </c>
      <c r="EE148" s="1">
        <v>0</v>
      </c>
      <c r="EF148" s="1">
        <v>1</v>
      </c>
      <c r="EG148" s="1">
        <v>0</v>
      </c>
      <c r="EH148" s="1">
        <v>0</v>
      </c>
      <c r="EI148" s="1">
        <v>0</v>
      </c>
      <c r="EJ148" s="1">
        <v>0</v>
      </c>
      <c r="EK148" s="1">
        <v>1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1</v>
      </c>
      <c r="ER148" s="1">
        <v>0</v>
      </c>
      <c r="ES148" s="1">
        <v>1</v>
      </c>
      <c r="ET148" s="1">
        <v>0</v>
      </c>
      <c r="EU148" s="1">
        <v>0</v>
      </c>
      <c r="EV148" s="1">
        <v>0</v>
      </c>
      <c r="EW148" s="1">
        <v>0</v>
      </c>
      <c r="EX148" s="1">
        <v>1</v>
      </c>
      <c r="EY148" s="1">
        <v>0</v>
      </c>
      <c r="EZ148" s="1">
        <v>0</v>
      </c>
      <c r="FA148" s="1">
        <v>1</v>
      </c>
      <c r="FB148" s="1">
        <v>1</v>
      </c>
      <c r="FC148" s="1">
        <v>0</v>
      </c>
      <c r="FD148" s="1">
        <v>1</v>
      </c>
      <c r="FE148" s="1">
        <v>1</v>
      </c>
      <c r="FF148" s="1">
        <v>1</v>
      </c>
      <c r="FG148" s="1">
        <v>1</v>
      </c>
      <c r="FH148" s="1">
        <v>1</v>
      </c>
      <c r="FI148" s="1">
        <v>1</v>
      </c>
      <c r="FJ148" s="1">
        <v>1</v>
      </c>
      <c r="FK148" s="1">
        <v>1</v>
      </c>
      <c r="FL148" s="1">
        <v>1</v>
      </c>
      <c r="FM148" s="1">
        <v>0</v>
      </c>
      <c r="FN148" s="1">
        <v>0</v>
      </c>
      <c r="FO148" s="1">
        <v>0</v>
      </c>
      <c r="FP148" s="1">
        <v>1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1</v>
      </c>
      <c r="FY148" s="1">
        <v>0</v>
      </c>
      <c r="FZ148" s="1">
        <v>0</v>
      </c>
      <c r="GA148" s="1">
        <v>0</v>
      </c>
      <c r="GB148" s="1">
        <v>0</v>
      </c>
      <c r="GC148" s="1">
        <v>1</v>
      </c>
      <c r="GD148" s="1">
        <v>0</v>
      </c>
      <c r="GE148" s="1">
        <v>0</v>
      </c>
      <c r="GF148" s="1">
        <v>0</v>
      </c>
      <c r="GG148" s="1">
        <v>1</v>
      </c>
      <c r="GH148" s="1">
        <v>1</v>
      </c>
      <c r="GI148" s="1">
        <v>0</v>
      </c>
      <c r="GJ148" s="1">
        <v>1</v>
      </c>
      <c r="GK148" s="1">
        <v>0</v>
      </c>
      <c r="GL148" s="1">
        <v>0</v>
      </c>
      <c r="GM148" s="1">
        <v>0</v>
      </c>
      <c r="GN148" s="1">
        <v>1</v>
      </c>
      <c r="GO148" s="1">
        <v>0</v>
      </c>
      <c r="GP148" s="1">
        <v>0</v>
      </c>
      <c r="GQ148" s="1">
        <v>1</v>
      </c>
      <c r="GR148" s="1">
        <v>0</v>
      </c>
      <c r="GS148" s="1">
        <v>1</v>
      </c>
      <c r="GT148" s="1">
        <v>1</v>
      </c>
      <c r="GU148" s="1">
        <v>1</v>
      </c>
      <c r="GV148" s="1">
        <v>1</v>
      </c>
      <c r="GW148" s="1">
        <v>1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1</v>
      </c>
      <c r="HD148" s="1">
        <v>1</v>
      </c>
      <c r="HE148" s="1">
        <v>1</v>
      </c>
      <c r="HF148" s="1">
        <v>0</v>
      </c>
    </row>
    <row r="149" spans="1:214" x14ac:dyDescent="0.2">
      <c r="A149" s="1" t="s">
        <v>585</v>
      </c>
      <c r="B149" s="1" t="s">
        <v>586</v>
      </c>
      <c r="D149" s="1" t="s">
        <v>587</v>
      </c>
      <c r="E149" s="1" t="s">
        <v>215</v>
      </c>
      <c r="F149" s="1">
        <v>0</v>
      </c>
      <c r="G149" s="1" t="s">
        <v>227</v>
      </c>
      <c r="H149" s="1" t="s">
        <v>308</v>
      </c>
      <c r="I149" s="1" t="s">
        <v>309</v>
      </c>
      <c r="J149" s="1">
        <v>728</v>
      </c>
      <c r="K149" s="1" t="s">
        <v>24</v>
      </c>
      <c r="L149" s="1" t="s">
        <v>235</v>
      </c>
      <c r="M149" s="1" t="s">
        <v>19</v>
      </c>
      <c r="N149" s="1">
        <f>IF(Regions_master[[#This Row],[Forecaster]]=Regions_master[[#Headers],[Grigor]],1,0)</f>
        <v>0</v>
      </c>
      <c r="O149" s="1">
        <f>IF(Regions_master[[#This Row],[Forecaster]]=Regions_master[[#Headers],[Ingo]],1,0)</f>
        <v>0</v>
      </c>
      <c r="P149" s="1">
        <f>IF(Regions_master[[#This Row],[Forecaster]]=Regions_master[[#Headers],[Danyira]],1,0)</f>
        <v>0</v>
      </c>
      <c r="Q149" s="1">
        <f>IF(Regions_master[[#This Row],[Forecaster]]=Regions_master[[#Headers],[Sebastian]],1,0)</f>
        <v>0</v>
      </c>
      <c r="R149" s="1">
        <f>IF(Regions_master[[#This Row],[Forecaster]]=Regions_master[[#Headers],[Yasu]],1,0)</f>
        <v>0</v>
      </c>
      <c r="S149" s="1">
        <f>IF(Regions_master[[#This Row],[Forecaster]]=Regions_master[[#Headers],[Zhenqian]],1,0)</f>
        <v>0</v>
      </c>
      <c r="T149" s="1">
        <f>IF(Regions_master[[#This Row],[Forecaster]]=Regions_master[[#Headers],[Berna]],1,0)</f>
        <v>0</v>
      </c>
      <c r="U149" s="1">
        <f>IF(Regions_master[[#This Row],[Forecaster]]=Regions_master[[#Headers],[Julian]],1,0)</f>
        <v>1</v>
      </c>
      <c r="V149" s="1">
        <f>IF(Regions_master[[#This Row],[Forecaster]]=Regions_master[[#Headers],[Katarzyna]],1,0)</f>
        <v>0</v>
      </c>
      <c r="W149" s="1">
        <v>1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1</v>
      </c>
      <c r="AO149" s="1">
        <v>0</v>
      </c>
      <c r="AP149" s="1">
        <v>0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</v>
      </c>
      <c r="BD149" s="1">
        <v>0</v>
      </c>
      <c r="BE149" s="1">
        <v>0</v>
      </c>
      <c r="BF149" s="1">
        <v>0</v>
      </c>
      <c r="BG149" s="1">
        <v>1</v>
      </c>
      <c r="BH149" s="1">
        <v>1</v>
      </c>
      <c r="BI149" s="1">
        <v>0</v>
      </c>
      <c r="BJ149" s="1">
        <v>0</v>
      </c>
      <c r="BK149" s="1">
        <v>0</v>
      </c>
      <c r="BL149" s="1">
        <v>0</v>
      </c>
      <c r="BM149" s="1">
        <v>1</v>
      </c>
      <c r="BN149" s="1">
        <v>0</v>
      </c>
      <c r="BO149" s="1">
        <v>0</v>
      </c>
      <c r="BP149" s="1">
        <v>0</v>
      </c>
      <c r="BQ149" s="1">
        <v>1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1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1</v>
      </c>
      <c r="CV149" s="1">
        <v>1</v>
      </c>
      <c r="CW149" s="1">
        <v>0</v>
      </c>
      <c r="CX149" s="1">
        <v>0</v>
      </c>
      <c r="CY149" s="1">
        <v>0</v>
      </c>
      <c r="CZ149" s="1">
        <v>0</v>
      </c>
      <c r="DA149" s="1">
        <v>1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1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1</v>
      </c>
      <c r="DQ149" s="1">
        <v>1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1</v>
      </c>
      <c r="EA149" s="1">
        <v>0</v>
      </c>
      <c r="EB149" s="1">
        <v>0</v>
      </c>
      <c r="EC149" s="1">
        <v>1</v>
      </c>
      <c r="ED149" s="1">
        <v>0</v>
      </c>
      <c r="EE149" s="1">
        <v>0</v>
      </c>
      <c r="EF149" s="1">
        <v>0</v>
      </c>
      <c r="EG149" s="1">
        <v>0</v>
      </c>
      <c r="EH149" s="3">
        <v>1</v>
      </c>
      <c r="EI149" s="1">
        <v>0</v>
      </c>
      <c r="EJ149" s="1">
        <v>1</v>
      </c>
      <c r="EK149" s="1">
        <v>1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1</v>
      </c>
      <c r="ER149" s="1">
        <v>0</v>
      </c>
      <c r="ES149" s="1">
        <v>0</v>
      </c>
      <c r="ET149" s="1">
        <v>0</v>
      </c>
      <c r="EU149" s="1">
        <v>1</v>
      </c>
      <c r="EV149" s="1">
        <v>0</v>
      </c>
      <c r="EW149" s="1">
        <v>0</v>
      </c>
      <c r="EX149" s="1">
        <v>1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1</v>
      </c>
      <c r="FE149" s="1">
        <v>1</v>
      </c>
      <c r="FF149" s="1">
        <v>1</v>
      </c>
      <c r="FG149" s="1">
        <v>1</v>
      </c>
      <c r="FH149" s="1">
        <v>1</v>
      </c>
      <c r="FI149" s="1">
        <v>1</v>
      </c>
      <c r="FJ149" s="1">
        <v>1</v>
      </c>
      <c r="FK149" s="1">
        <v>1</v>
      </c>
      <c r="FL149" s="1">
        <v>1</v>
      </c>
      <c r="FM149" s="1">
        <v>0</v>
      </c>
      <c r="FN149" s="1">
        <v>0</v>
      </c>
      <c r="FO149" s="1">
        <v>0</v>
      </c>
      <c r="FP149" s="1">
        <v>1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1</v>
      </c>
      <c r="GD149" s="1">
        <v>0</v>
      </c>
      <c r="GE149" s="1">
        <v>0</v>
      </c>
      <c r="GF149" s="1">
        <v>0</v>
      </c>
      <c r="GG149" s="1">
        <v>0</v>
      </c>
      <c r="GH149" s="1">
        <v>1</v>
      </c>
      <c r="GI149" s="1">
        <v>0</v>
      </c>
      <c r="GJ149" s="1">
        <v>0</v>
      </c>
      <c r="GK149" s="1">
        <v>1</v>
      </c>
      <c r="GL149" s="1">
        <v>0</v>
      </c>
      <c r="GM149" s="1">
        <v>1</v>
      </c>
      <c r="GN149" s="1">
        <v>1</v>
      </c>
      <c r="GO149" s="1">
        <v>1</v>
      </c>
      <c r="GP149" s="1">
        <v>0</v>
      </c>
      <c r="GQ149" s="1">
        <v>1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</row>
    <row r="150" spans="1:214" x14ac:dyDescent="0.2">
      <c r="A150" s="1" t="s">
        <v>588</v>
      </c>
      <c r="B150" s="1" t="s">
        <v>588</v>
      </c>
      <c r="D150" s="1" t="s">
        <v>230</v>
      </c>
      <c r="E150" s="1" t="s">
        <v>215</v>
      </c>
      <c r="F150" s="1">
        <v>0</v>
      </c>
      <c r="G150" s="1" t="s">
        <v>251</v>
      </c>
      <c r="H150" s="1" t="s">
        <v>252</v>
      </c>
      <c r="I150" s="1" t="s">
        <v>253</v>
      </c>
      <c r="J150" s="1">
        <v>724</v>
      </c>
      <c r="K150" s="1" t="s">
        <v>22</v>
      </c>
      <c r="L150" s="1" t="s">
        <v>336</v>
      </c>
      <c r="M150" s="1" t="s">
        <v>14</v>
      </c>
      <c r="N150" s="1">
        <f>IF(Regions_master[[#This Row],[Forecaster]]=Regions_master[[#Headers],[Grigor]],1,0)</f>
        <v>0</v>
      </c>
      <c r="O150" s="1">
        <f>IF(Regions_master[[#This Row],[Forecaster]]=Regions_master[[#Headers],[Ingo]],1,0)</f>
        <v>1</v>
      </c>
      <c r="P150" s="1">
        <f>IF(Regions_master[[#This Row],[Forecaster]]=Regions_master[[#Headers],[Danyira]],1,0)</f>
        <v>0</v>
      </c>
      <c r="Q150" s="1">
        <f>IF(Regions_master[[#This Row],[Forecaster]]=Regions_master[[#Headers],[Sebastian]],1,0)</f>
        <v>0</v>
      </c>
      <c r="R150" s="1">
        <f>IF(Regions_master[[#This Row],[Forecaster]]=Regions_master[[#Headers],[Yasu]],1,0)</f>
        <v>0</v>
      </c>
      <c r="S150" s="1">
        <f>IF(Regions_master[[#This Row],[Forecaster]]=Regions_master[[#Headers],[Zhenqian]],1,0)</f>
        <v>0</v>
      </c>
      <c r="T150" s="1">
        <f>IF(Regions_master[[#This Row],[Forecaster]]=Regions_master[[#Headers],[Berna]],1,0)</f>
        <v>0</v>
      </c>
      <c r="U150" s="1">
        <f>IF(Regions_master[[#This Row],[Forecaster]]=Regions_master[[#Headers],[Julian]],1,0)</f>
        <v>0</v>
      </c>
      <c r="V150" s="1">
        <f>IF(Regions_master[[#This Row],[Forecaster]]=Regions_master[[#Headers],[Katarzyna]],1,0)</f>
        <v>0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0</v>
      </c>
      <c r="AI150" s="1">
        <v>0</v>
      </c>
      <c r="AJ150" s="1">
        <v>0</v>
      </c>
      <c r="AK150" s="1">
        <v>1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1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1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1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1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1</v>
      </c>
      <c r="EE150" s="1">
        <v>0</v>
      </c>
      <c r="EF150" s="1">
        <v>1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1</v>
      </c>
      <c r="FB150" s="1">
        <v>1</v>
      </c>
      <c r="FC150" s="1">
        <v>0</v>
      </c>
      <c r="FD150" s="1">
        <v>1</v>
      </c>
      <c r="FE150" s="1">
        <v>1</v>
      </c>
      <c r="FF150" s="1">
        <v>1</v>
      </c>
      <c r="FG150" s="1">
        <v>1</v>
      </c>
      <c r="FH150" s="1">
        <v>1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1</v>
      </c>
      <c r="GH150" s="1">
        <v>0</v>
      </c>
      <c r="GI150" s="1">
        <v>0</v>
      </c>
      <c r="GJ150" s="1">
        <v>1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</row>
    <row r="151" spans="1:214" x14ac:dyDescent="0.2">
      <c r="A151" s="1" t="s">
        <v>589</v>
      </c>
      <c r="B151" s="1" t="s">
        <v>590</v>
      </c>
      <c r="D151" s="1" t="s">
        <v>591</v>
      </c>
      <c r="E151" s="1" t="s">
        <v>215</v>
      </c>
      <c r="F151" s="1">
        <v>0</v>
      </c>
      <c r="G151" s="1" t="s">
        <v>216</v>
      </c>
      <c r="H151" s="1" t="s">
        <v>217</v>
      </c>
      <c r="I151" s="1" t="s">
        <v>218</v>
      </c>
      <c r="J151" s="1">
        <v>144</v>
      </c>
      <c r="K151" s="1" t="s">
        <v>24</v>
      </c>
      <c r="L151" s="1" t="s">
        <v>261</v>
      </c>
      <c r="M151" s="1" t="s">
        <v>15</v>
      </c>
      <c r="N151" s="1">
        <f>IF(Regions_master[[#This Row],[Forecaster]]=Regions_master[[#Headers],[Grigor]],1,0)</f>
        <v>0</v>
      </c>
      <c r="O151" s="1">
        <f>IF(Regions_master[[#This Row],[Forecaster]]=Regions_master[[#Headers],[Ingo]],1,0)</f>
        <v>0</v>
      </c>
      <c r="P151" s="1">
        <f>IF(Regions_master[[#This Row],[Forecaster]]=Regions_master[[#Headers],[Danyira]],1,0)</f>
        <v>1</v>
      </c>
      <c r="Q151" s="1">
        <f>IF(Regions_master[[#This Row],[Forecaster]]=Regions_master[[#Headers],[Sebastian]],1,0)</f>
        <v>0</v>
      </c>
      <c r="R151" s="1">
        <f>IF(Regions_master[[#This Row],[Forecaster]]=Regions_master[[#Headers],[Yasu]],1,0)</f>
        <v>0</v>
      </c>
      <c r="S151" s="1">
        <f>IF(Regions_master[[#This Row],[Forecaster]]=Regions_master[[#Headers],[Zhenqian]],1,0)</f>
        <v>0</v>
      </c>
      <c r="T151" s="1">
        <f>IF(Regions_master[[#This Row],[Forecaster]]=Regions_master[[#Headers],[Berna]],1,0)</f>
        <v>0</v>
      </c>
      <c r="U151" s="1">
        <f>IF(Regions_master[[#This Row],[Forecaster]]=Regions_master[[#Headers],[Julian]],1,0)</f>
        <v>0</v>
      </c>
      <c r="V151" s="1">
        <f>IF(Regions_master[[#This Row],[Forecaster]]=Regions_master[[#Headers],[Katarzyna]],1,0)</f>
        <v>0</v>
      </c>
      <c r="W151" s="1">
        <v>1</v>
      </c>
      <c r="X151" s="1">
        <v>0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1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1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1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1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1</v>
      </c>
      <c r="DD151" s="1">
        <v>0</v>
      </c>
      <c r="DE151" s="1">
        <v>1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1</v>
      </c>
      <c r="DN151" s="1">
        <v>0</v>
      </c>
      <c r="DO151" s="1">
        <v>0</v>
      </c>
      <c r="DP151" s="1">
        <v>1</v>
      </c>
      <c r="DQ151" s="1">
        <v>1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1</v>
      </c>
      <c r="EC151" s="1">
        <v>0</v>
      </c>
      <c r="ED151" s="1">
        <v>1</v>
      </c>
      <c r="EE151" s="1">
        <v>0</v>
      </c>
      <c r="EF151" s="1">
        <v>1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1</v>
      </c>
      <c r="EN151" s="1">
        <v>1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1</v>
      </c>
      <c r="FB151" s="1">
        <v>1</v>
      </c>
      <c r="FC151" s="1">
        <v>0</v>
      </c>
      <c r="FD151" s="1">
        <v>1</v>
      </c>
      <c r="FE151" s="1">
        <v>1</v>
      </c>
      <c r="FF151" s="1">
        <v>1</v>
      </c>
      <c r="FG151" s="1">
        <v>1</v>
      </c>
      <c r="FH151" s="1">
        <v>1</v>
      </c>
      <c r="FI151" s="1">
        <v>1</v>
      </c>
      <c r="FJ151" s="1">
        <v>1</v>
      </c>
      <c r="FK151" s="1">
        <v>1</v>
      </c>
      <c r="FL151" s="1">
        <v>1</v>
      </c>
      <c r="FM151" s="1">
        <v>0</v>
      </c>
      <c r="FN151" s="1">
        <v>0</v>
      </c>
      <c r="FO151" s="1">
        <v>0</v>
      </c>
      <c r="FP151" s="1">
        <v>0</v>
      </c>
      <c r="FQ151" s="1">
        <v>1</v>
      </c>
      <c r="FR151" s="1">
        <v>1</v>
      </c>
      <c r="FS151" s="1">
        <v>1</v>
      </c>
      <c r="FT151" s="1">
        <v>1</v>
      </c>
      <c r="FU151" s="1">
        <v>0</v>
      </c>
      <c r="FV151" s="1">
        <v>0</v>
      </c>
      <c r="FW151" s="1">
        <v>0</v>
      </c>
      <c r="FX151" s="1">
        <v>0</v>
      </c>
      <c r="FY151" s="1">
        <v>1</v>
      </c>
      <c r="FZ151" s="1">
        <v>0</v>
      </c>
      <c r="GA151" s="1">
        <v>0</v>
      </c>
      <c r="GB151" s="1">
        <v>0</v>
      </c>
      <c r="GC151" s="1">
        <v>0</v>
      </c>
      <c r="GD151" s="1">
        <v>1</v>
      </c>
      <c r="GE151" s="1">
        <v>1</v>
      </c>
      <c r="GF151" s="1">
        <v>0</v>
      </c>
      <c r="GG151" s="1">
        <v>1</v>
      </c>
      <c r="GH151" s="1">
        <v>0</v>
      </c>
      <c r="GI151" s="1">
        <v>0</v>
      </c>
      <c r="GJ151" s="1">
        <v>1</v>
      </c>
      <c r="GK151" s="1">
        <v>0</v>
      </c>
      <c r="GL151" s="1">
        <v>1</v>
      </c>
      <c r="GM151" s="1">
        <v>0</v>
      </c>
      <c r="GN151" s="1">
        <v>1</v>
      </c>
      <c r="GO151" s="1">
        <v>0</v>
      </c>
      <c r="GP151" s="1">
        <v>0</v>
      </c>
      <c r="GQ151" s="1">
        <v>0</v>
      </c>
      <c r="GR151" s="1">
        <v>1</v>
      </c>
      <c r="GS151" s="1">
        <v>0</v>
      </c>
      <c r="GT151" s="1">
        <v>1</v>
      </c>
      <c r="GU151" s="1">
        <v>1</v>
      </c>
      <c r="GV151" s="1">
        <v>1</v>
      </c>
      <c r="GW151" s="1">
        <v>1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1</v>
      </c>
      <c r="HD151" s="1">
        <v>1</v>
      </c>
      <c r="HE151" s="1">
        <v>0</v>
      </c>
      <c r="HF151" s="1">
        <v>0</v>
      </c>
    </row>
    <row r="152" spans="1:214" x14ac:dyDescent="0.2">
      <c r="A152" s="1" t="s">
        <v>592</v>
      </c>
      <c r="B152" s="1" t="s">
        <v>593</v>
      </c>
      <c r="D152" s="1" t="s">
        <v>594</v>
      </c>
      <c r="E152" s="1" t="s">
        <v>215</v>
      </c>
      <c r="F152" s="1">
        <v>0</v>
      </c>
      <c r="G152" s="1" t="s">
        <v>216</v>
      </c>
      <c r="H152" s="1" t="s">
        <v>264</v>
      </c>
      <c r="I152" s="1" t="s">
        <v>265</v>
      </c>
      <c r="J152" s="1">
        <v>275</v>
      </c>
      <c r="K152" s="1" t="s">
        <v>24</v>
      </c>
      <c r="L152" s="1" t="s">
        <v>440</v>
      </c>
      <c r="M152" s="1" t="s">
        <v>18</v>
      </c>
      <c r="N152" s="1">
        <f>IF(Regions_master[[#This Row],[Forecaster]]=Regions_master[[#Headers],[Grigor]],1,0)</f>
        <v>0</v>
      </c>
      <c r="O152" s="1">
        <f>IF(Regions_master[[#This Row],[Forecaster]]=Regions_master[[#Headers],[Ingo]],1,0)</f>
        <v>0</v>
      </c>
      <c r="P152" s="1">
        <f>IF(Regions_master[[#This Row],[Forecaster]]=Regions_master[[#Headers],[Danyira]],1,0)</f>
        <v>0</v>
      </c>
      <c r="Q152" s="1">
        <f>IF(Regions_master[[#This Row],[Forecaster]]=Regions_master[[#Headers],[Sebastian]],1,0)</f>
        <v>0</v>
      </c>
      <c r="R152" s="1">
        <f>IF(Regions_master[[#This Row],[Forecaster]]=Regions_master[[#Headers],[Yasu]],1,0)</f>
        <v>0</v>
      </c>
      <c r="S152" s="1">
        <f>IF(Regions_master[[#This Row],[Forecaster]]=Regions_master[[#Headers],[Zhenqian]],1,0)</f>
        <v>0</v>
      </c>
      <c r="T152" s="1">
        <f>IF(Regions_master[[#This Row],[Forecaster]]=Regions_master[[#Headers],[Berna]],1,0)</f>
        <v>1</v>
      </c>
      <c r="U152" s="1">
        <f>IF(Regions_master[[#This Row],[Forecaster]]=Regions_master[[#Headers],[Julian]],1,0)</f>
        <v>0</v>
      </c>
      <c r="V152" s="1">
        <f>IF(Regions_master[[#This Row],[Forecaster]]=Regions_master[[#Headers],[Katarzyna]],1,0)</f>
        <v>0</v>
      </c>
      <c r="W152" s="1">
        <v>1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1</v>
      </c>
      <c r="BO152" s="1">
        <v>0</v>
      </c>
      <c r="BP152" s="1">
        <v>0</v>
      </c>
      <c r="BQ152" s="1">
        <v>0</v>
      </c>
      <c r="BR152" s="1">
        <v>0</v>
      </c>
      <c r="BS152" s="1">
        <v>1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1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1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1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1</v>
      </c>
      <c r="DO152" s="1">
        <v>0</v>
      </c>
      <c r="DP152" s="1">
        <v>1</v>
      </c>
      <c r="DQ152" s="1">
        <v>1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1</v>
      </c>
      <c r="EE152" s="1">
        <v>0</v>
      </c>
      <c r="EF152" s="1">
        <v>1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1</v>
      </c>
      <c r="FB152" s="1">
        <v>1</v>
      </c>
      <c r="FC152" s="1">
        <v>0</v>
      </c>
      <c r="FD152" s="1">
        <v>1</v>
      </c>
      <c r="FE152" s="1">
        <v>1</v>
      </c>
      <c r="FF152" s="1">
        <v>1</v>
      </c>
      <c r="FG152" s="1">
        <v>0</v>
      </c>
      <c r="FH152" s="1">
        <v>0</v>
      </c>
      <c r="FI152" s="1">
        <v>0</v>
      </c>
      <c r="FJ152" s="1">
        <v>0</v>
      </c>
      <c r="FK152" s="1">
        <v>1</v>
      </c>
      <c r="FL152" s="1">
        <v>1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1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1</v>
      </c>
      <c r="GU152" s="1">
        <v>0</v>
      </c>
      <c r="GV152" s="1">
        <v>1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1</v>
      </c>
      <c r="HD152" s="1">
        <v>0</v>
      </c>
      <c r="HE152" s="1">
        <v>0</v>
      </c>
      <c r="HF152" s="1">
        <v>0</v>
      </c>
    </row>
    <row r="153" spans="1:214" x14ac:dyDescent="0.2">
      <c r="A153" s="1" t="s">
        <v>595</v>
      </c>
      <c r="B153" s="1" t="s">
        <v>595</v>
      </c>
      <c r="D153" s="1" t="s">
        <v>391</v>
      </c>
      <c r="E153" s="1" t="s">
        <v>215</v>
      </c>
      <c r="F153" s="1">
        <v>0</v>
      </c>
      <c r="G153" s="1" t="s">
        <v>227</v>
      </c>
      <c r="H153" s="1" t="s">
        <v>228</v>
      </c>
      <c r="I153" s="1" t="s">
        <v>229</v>
      </c>
      <c r="J153" s="1">
        <v>729</v>
      </c>
      <c r="K153" s="1" t="s">
        <v>24</v>
      </c>
      <c r="L153" s="1" t="s">
        <v>374</v>
      </c>
      <c r="M153" s="1" t="s">
        <v>17</v>
      </c>
      <c r="N153" s="1">
        <f>IF(Regions_master[[#This Row],[Forecaster]]=Regions_master[[#Headers],[Grigor]],1,0)</f>
        <v>0</v>
      </c>
      <c r="O153" s="1">
        <f>IF(Regions_master[[#This Row],[Forecaster]]=Regions_master[[#Headers],[Ingo]],1,0)</f>
        <v>0</v>
      </c>
      <c r="P153" s="1">
        <f>IF(Regions_master[[#This Row],[Forecaster]]=Regions_master[[#Headers],[Danyira]],1,0)</f>
        <v>0</v>
      </c>
      <c r="Q153" s="1">
        <f>IF(Regions_master[[#This Row],[Forecaster]]=Regions_master[[#Headers],[Sebastian]],1,0)</f>
        <v>0</v>
      </c>
      <c r="R153" s="1">
        <f>IF(Regions_master[[#This Row],[Forecaster]]=Regions_master[[#Headers],[Yasu]],1,0)</f>
        <v>1</v>
      </c>
      <c r="S153" s="1">
        <f>IF(Regions_master[[#This Row],[Forecaster]]=Regions_master[[#Headers],[Zhenqian]],1,0)</f>
        <v>0</v>
      </c>
      <c r="T153" s="1">
        <f>IF(Regions_master[[#This Row],[Forecaster]]=Regions_master[[#Headers],[Berna]],1,0)</f>
        <v>0</v>
      </c>
      <c r="U153" s="1">
        <f>IF(Regions_master[[#This Row],[Forecaster]]=Regions_master[[#Headers],[Julian]],1,0)</f>
        <v>0</v>
      </c>
      <c r="V153" s="1">
        <f>IF(Regions_master[[#This Row],[Forecaster]]=Regions_master[[#Headers],[Katarzyna]],1,0)</f>
        <v>0</v>
      </c>
      <c r="W153" s="1">
        <v>1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1</v>
      </c>
      <c r="BH153" s="1">
        <v>1</v>
      </c>
      <c r="BI153" s="1">
        <v>1</v>
      </c>
      <c r="BJ153" s="1">
        <v>0</v>
      </c>
      <c r="BK153" s="1">
        <v>1</v>
      </c>
      <c r="BL153" s="1">
        <v>0</v>
      </c>
      <c r="BM153" s="1">
        <v>0</v>
      </c>
      <c r="BN153" s="1">
        <v>1</v>
      </c>
      <c r="BO153" s="1">
        <v>0</v>
      </c>
      <c r="BP153" s="1">
        <v>0</v>
      </c>
      <c r="BQ153" s="1">
        <v>1</v>
      </c>
      <c r="BR153" s="1">
        <v>0</v>
      </c>
      <c r="BS153" s="1">
        <v>0</v>
      </c>
      <c r="BT153" s="1">
        <v>0</v>
      </c>
      <c r="BU153" s="1">
        <v>0</v>
      </c>
      <c r="BV153" s="1">
        <v>1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1</v>
      </c>
      <c r="CV153" s="1">
        <v>1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1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1</v>
      </c>
      <c r="DK153" s="1">
        <v>1</v>
      </c>
      <c r="DL153" s="1">
        <v>0</v>
      </c>
      <c r="DM153" s="1">
        <v>0</v>
      </c>
      <c r="DN153" s="1">
        <v>0</v>
      </c>
      <c r="DO153" s="1">
        <v>0</v>
      </c>
      <c r="DP153" s="1">
        <v>1</v>
      </c>
      <c r="DQ153" s="1">
        <v>1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1</v>
      </c>
      <c r="EE153" s="1">
        <v>0</v>
      </c>
      <c r="EF153" s="1">
        <v>0</v>
      </c>
      <c r="EG153" s="1">
        <v>1</v>
      </c>
      <c r="EH153" s="1">
        <v>1</v>
      </c>
      <c r="EI153" s="1">
        <v>0</v>
      </c>
      <c r="EJ153" s="1">
        <v>1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1</v>
      </c>
      <c r="FB153" s="1">
        <v>0</v>
      </c>
      <c r="FC153" s="1">
        <v>0</v>
      </c>
      <c r="FD153" s="1">
        <v>1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1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1</v>
      </c>
      <c r="GH153" s="1">
        <v>0</v>
      </c>
      <c r="GI153" s="1">
        <v>1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</row>
    <row r="154" spans="1:214" x14ac:dyDescent="0.2">
      <c r="A154" s="1" t="s">
        <v>596</v>
      </c>
      <c r="B154" s="1" t="s">
        <v>596</v>
      </c>
      <c r="D154" s="1" t="s">
        <v>597</v>
      </c>
      <c r="E154" s="1" t="s">
        <v>215</v>
      </c>
      <c r="F154" s="1">
        <v>0</v>
      </c>
      <c r="G154" s="1" t="s">
        <v>238</v>
      </c>
      <c r="H154" s="1" t="s">
        <v>259</v>
      </c>
      <c r="I154" s="1" t="s">
        <v>260</v>
      </c>
      <c r="J154" s="1">
        <v>740</v>
      </c>
      <c r="K154" s="1" t="s">
        <v>24</v>
      </c>
      <c r="L154" s="1" t="s">
        <v>305</v>
      </c>
      <c r="M154" s="1" t="s">
        <v>16</v>
      </c>
      <c r="N154" s="1">
        <f>IF(Regions_master[[#This Row],[Forecaster]]=Regions_master[[#Headers],[Grigor]],1,0)</f>
        <v>0</v>
      </c>
      <c r="O154" s="1">
        <f>IF(Regions_master[[#This Row],[Forecaster]]=Regions_master[[#Headers],[Ingo]],1,0)</f>
        <v>0</v>
      </c>
      <c r="P154" s="1">
        <f>IF(Regions_master[[#This Row],[Forecaster]]=Regions_master[[#Headers],[Danyira]],1,0)</f>
        <v>0</v>
      </c>
      <c r="Q154" s="1">
        <f>IF(Regions_master[[#This Row],[Forecaster]]=Regions_master[[#Headers],[Sebastian]],1,0)</f>
        <v>1</v>
      </c>
      <c r="R154" s="1">
        <f>IF(Regions_master[[#This Row],[Forecaster]]=Regions_master[[#Headers],[Yasu]],1,0)</f>
        <v>0</v>
      </c>
      <c r="S154" s="1">
        <f>IF(Regions_master[[#This Row],[Forecaster]]=Regions_master[[#Headers],[Zhenqian]],1,0)</f>
        <v>0</v>
      </c>
      <c r="T154" s="1">
        <f>IF(Regions_master[[#This Row],[Forecaster]]=Regions_master[[#Headers],[Berna]],1,0)</f>
        <v>0</v>
      </c>
      <c r="U154" s="1">
        <f>IF(Regions_master[[#This Row],[Forecaster]]=Regions_master[[#Headers],[Julian]],1,0)</f>
        <v>0</v>
      </c>
      <c r="V154" s="1">
        <f>IF(Regions_master[[#This Row],[Forecaster]]=Regions_master[[#Headers],[Katarzyna]],1,0)</f>
        <v>0</v>
      </c>
      <c r="W154" s="1">
        <v>1</v>
      </c>
      <c r="X154" s="1">
        <v>0</v>
      </c>
      <c r="Y154" s="1">
        <v>0</v>
      </c>
      <c r="Z154" s="1">
        <v>1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</v>
      </c>
      <c r="AZ154" s="1">
        <v>1</v>
      </c>
      <c r="BA154" s="1">
        <v>0</v>
      </c>
      <c r="BB154" s="1">
        <v>0</v>
      </c>
      <c r="BC154" s="1">
        <v>0</v>
      </c>
      <c r="BD154" s="1">
        <v>0</v>
      </c>
      <c r="BE154" s="1">
        <v>1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1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1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1</v>
      </c>
      <c r="CT154" s="1">
        <v>0</v>
      </c>
      <c r="CU154" s="1">
        <v>1</v>
      </c>
      <c r="CV154" s="1">
        <v>1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1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1</v>
      </c>
      <c r="DQ154" s="1">
        <v>1</v>
      </c>
      <c r="DR154" s="1">
        <v>1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1</v>
      </c>
      <c r="EE154" s="1">
        <v>0</v>
      </c>
      <c r="EF154" s="1">
        <v>0</v>
      </c>
      <c r="EG154" s="1">
        <v>0</v>
      </c>
      <c r="EH154" s="1">
        <v>0</v>
      </c>
      <c r="EI154" s="1">
        <v>1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1</v>
      </c>
      <c r="EP154" s="1">
        <v>0</v>
      </c>
      <c r="EQ154" s="1">
        <v>0</v>
      </c>
      <c r="ER154" s="1">
        <v>1</v>
      </c>
      <c r="ES154" s="1">
        <v>1</v>
      </c>
      <c r="ET154" s="1">
        <v>1</v>
      </c>
      <c r="EU154" s="1">
        <v>0</v>
      </c>
      <c r="EV154" s="1">
        <v>0</v>
      </c>
      <c r="EW154" s="1">
        <v>0</v>
      </c>
      <c r="EX154" s="1">
        <v>1</v>
      </c>
      <c r="EY154" s="1">
        <v>0</v>
      </c>
      <c r="EZ154" s="1">
        <v>0</v>
      </c>
      <c r="FA154" s="1">
        <v>1</v>
      </c>
      <c r="FB154" s="1">
        <v>0</v>
      </c>
      <c r="FC154" s="1">
        <v>0</v>
      </c>
      <c r="FD154" s="1">
        <v>1</v>
      </c>
      <c r="FE154" s="1">
        <v>1</v>
      </c>
      <c r="FF154" s="1">
        <v>1</v>
      </c>
      <c r="FG154" s="1">
        <v>1</v>
      </c>
      <c r="FH154" s="1">
        <v>1</v>
      </c>
      <c r="FI154" s="1">
        <v>1</v>
      </c>
      <c r="FJ154" s="1">
        <v>1</v>
      </c>
      <c r="FK154" s="1">
        <v>1</v>
      </c>
      <c r="FL154" s="1">
        <v>1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1</v>
      </c>
      <c r="FW154" s="1">
        <v>0</v>
      </c>
      <c r="FX154" s="1">
        <v>0</v>
      </c>
      <c r="FY154" s="1">
        <v>0</v>
      </c>
      <c r="FZ154" s="1">
        <v>0</v>
      </c>
      <c r="GA154" s="1">
        <v>1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1</v>
      </c>
      <c r="GH154" s="1">
        <v>1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1</v>
      </c>
      <c r="GO154" s="1">
        <v>0</v>
      </c>
      <c r="GP154" s="1">
        <v>0</v>
      </c>
      <c r="GQ154" s="1">
        <v>0</v>
      </c>
      <c r="GR154" s="1">
        <v>0</v>
      </c>
      <c r="GS154" s="1">
        <v>1</v>
      </c>
      <c r="GT154" s="1">
        <v>1</v>
      </c>
      <c r="GU154" s="1">
        <v>1</v>
      </c>
      <c r="GV154" s="1">
        <v>1</v>
      </c>
      <c r="GW154" s="1">
        <v>1</v>
      </c>
      <c r="GX154" s="1">
        <v>0</v>
      </c>
      <c r="GY154" s="1">
        <v>0</v>
      </c>
      <c r="GZ154" s="1">
        <v>0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0</v>
      </c>
    </row>
    <row r="155" spans="1:214" x14ac:dyDescent="0.2">
      <c r="A155" s="1" t="s">
        <v>598</v>
      </c>
      <c r="B155" s="1" t="s">
        <v>598</v>
      </c>
      <c r="D155" s="1" t="s">
        <v>599</v>
      </c>
      <c r="E155" s="1" t="s">
        <v>215</v>
      </c>
      <c r="F155" s="1">
        <v>0</v>
      </c>
      <c r="G155" s="1" t="s">
        <v>251</v>
      </c>
      <c r="H155" s="1" t="s">
        <v>252</v>
      </c>
      <c r="I155" s="1" t="s">
        <v>253</v>
      </c>
      <c r="J155" s="1">
        <v>752</v>
      </c>
      <c r="K155" s="1" t="s">
        <v>22</v>
      </c>
      <c r="L155" s="1" t="s">
        <v>326</v>
      </c>
      <c r="M155" s="1" t="s">
        <v>14</v>
      </c>
      <c r="N155" s="1">
        <f>IF(Regions_master[[#This Row],[Forecaster]]=Regions_master[[#Headers],[Grigor]],1,0)</f>
        <v>0</v>
      </c>
      <c r="O155" s="1">
        <f>IF(Regions_master[[#This Row],[Forecaster]]=Regions_master[[#Headers],[Ingo]],1,0)</f>
        <v>1</v>
      </c>
      <c r="P155" s="1">
        <f>IF(Regions_master[[#This Row],[Forecaster]]=Regions_master[[#Headers],[Danyira]],1,0)</f>
        <v>0</v>
      </c>
      <c r="Q155" s="1">
        <f>IF(Regions_master[[#This Row],[Forecaster]]=Regions_master[[#Headers],[Sebastian]],1,0)</f>
        <v>0</v>
      </c>
      <c r="R155" s="1">
        <f>IF(Regions_master[[#This Row],[Forecaster]]=Regions_master[[#Headers],[Yasu]],1,0)</f>
        <v>0</v>
      </c>
      <c r="S155" s="1">
        <f>IF(Regions_master[[#This Row],[Forecaster]]=Regions_master[[#Headers],[Zhenqian]],1,0)</f>
        <v>0</v>
      </c>
      <c r="T155" s="1">
        <f>IF(Regions_master[[#This Row],[Forecaster]]=Regions_master[[#Headers],[Berna]],1,0)</f>
        <v>0</v>
      </c>
      <c r="U155" s="1">
        <f>IF(Regions_master[[#This Row],[Forecaster]]=Regions_master[[#Headers],[Julian]],1,0)</f>
        <v>0</v>
      </c>
      <c r="V155" s="1">
        <f>IF(Regions_master[[#This Row],[Forecaster]]=Regions_master[[#Headers],[Katarzyna]],1,0)</f>
        <v>0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1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1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1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1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1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1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1</v>
      </c>
      <c r="ED155" s="1">
        <v>0</v>
      </c>
      <c r="EE155" s="1">
        <v>0</v>
      </c>
      <c r="EF155" s="1">
        <v>1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1</v>
      </c>
      <c r="FC155" s="1">
        <v>0</v>
      </c>
      <c r="FD155" s="1">
        <v>1</v>
      </c>
      <c r="FE155" s="1">
        <v>1</v>
      </c>
      <c r="FF155" s="1">
        <v>1</v>
      </c>
      <c r="FG155" s="1">
        <v>1</v>
      </c>
      <c r="FH155" s="1">
        <v>1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1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</row>
    <row r="156" spans="1:214" x14ac:dyDescent="0.2">
      <c r="A156" s="1" t="s">
        <v>600</v>
      </c>
      <c r="B156" s="1" t="s">
        <v>600</v>
      </c>
      <c r="D156" s="1" t="s">
        <v>305</v>
      </c>
      <c r="E156" s="1" t="s">
        <v>215</v>
      </c>
      <c r="F156" s="1">
        <v>0</v>
      </c>
      <c r="G156" s="1" t="s">
        <v>251</v>
      </c>
      <c r="H156" s="1" t="s">
        <v>427</v>
      </c>
      <c r="I156" s="1" t="s">
        <v>428</v>
      </c>
      <c r="J156" s="1">
        <v>756</v>
      </c>
      <c r="K156" s="1" t="s">
        <v>22</v>
      </c>
      <c r="L156" s="1" t="s">
        <v>261</v>
      </c>
      <c r="M156" s="1" t="s">
        <v>14</v>
      </c>
      <c r="N156" s="1">
        <f>IF(Regions_master[[#This Row],[Forecaster]]=Regions_master[[#Headers],[Grigor]],1,0)</f>
        <v>0</v>
      </c>
      <c r="O156" s="1">
        <f>IF(Regions_master[[#This Row],[Forecaster]]=Regions_master[[#Headers],[Ingo]],1,0)</f>
        <v>1</v>
      </c>
      <c r="P156" s="1">
        <f>IF(Regions_master[[#This Row],[Forecaster]]=Regions_master[[#Headers],[Danyira]],1,0)</f>
        <v>0</v>
      </c>
      <c r="Q156" s="1">
        <f>IF(Regions_master[[#This Row],[Forecaster]]=Regions_master[[#Headers],[Sebastian]],1,0)</f>
        <v>0</v>
      </c>
      <c r="R156" s="1">
        <f>IF(Regions_master[[#This Row],[Forecaster]]=Regions_master[[#Headers],[Yasu]],1,0)</f>
        <v>0</v>
      </c>
      <c r="S156" s="1">
        <f>IF(Regions_master[[#This Row],[Forecaster]]=Regions_master[[#Headers],[Zhenqian]],1,0)</f>
        <v>0</v>
      </c>
      <c r="T156" s="1">
        <f>IF(Regions_master[[#This Row],[Forecaster]]=Regions_master[[#Headers],[Berna]],1,0)</f>
        <v>0</v>
      </c>
      <c r="U156" s="1">
        <f>IF(Regions_master[[#This Row],[Forecaster]]=Regions_master[[#Headers],[Julian]],1,0)</f>
        <v>0</v>
      </c>
      <c r="V156" s="1">
        <f>IF(Regions_master[[#This Row],[Forecaster]]=Regions_master[[#Headers],[Katarzyna]],1,0)</f>
        <v>0</v>
      </c>
      <c r="W156" s="1">
        <v>1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1</v>
      </c>
      <c r="AK156" s="1">
        <v>1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1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1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1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1</v>
      </c>
      <c r="ED156" s="1">
        <v>0</v>
      </c>
      <c r="EE156" s="1">
        <v>0</v>
      </c>
      <c r="EF156" s="1">
        <v>1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1</v>
      </c>
      <c r="FC156" s="1">
        <v>0</v>
      </c>
      <c r="FD156" s="1">
        <v>1</v>
      </c>
      <c r="FE156" s="1">
        <v>1</v>
      </c>
      <c r="FF156" s="1">
        <v>1</v>
      </c>
      <c r="FG156" s="1">
        <v>1</v>
      </c>
      <c r="FH156" s="1">
        <v>1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1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</row>
    <row r="157" spans="1:214" x14ac:dyDescent="0.2">
      <c r="A157" s="1" t="s">
        <v>601</v>
      </c>
      <c r="B157" s="1" t="s">
        <v>602</v>
      </c>
      <c r="D157" s="1" t="s">
        <v>603</v>
      </c>
      <c r="E157" s="1" t="s">
        <v>215</v>
      </c>
      <c r="F157" s="1">
        <v>0</v>
      </c>
      <c r="G157" s="1" t="s">
        <v>216</v>
      </c>
      <c r="H157" s="1" t="s">
        <v>264</v>
      </c>
      <c r="I157" s="1" t="s">
        <v>265</v>
      </c>
      <c r="J157" s="1">
        <v>760</v>
      </c>
      <c r="K157" s="1" t="s">
        <v>24</v>
      </c>
      <c r="L157" s="1" t="s">
        <v>467</v>
      </c>
      <c r="M157" s="1" t="s">
        <v>18</v>
      </c>
      <c r="N157" s="1">
        <f>IF(Regions_master[[#This Row],[Forecaster]]=Regions_master[[#Headers],[Grigor]],1,0)</f>
        <v>0</v>
      </c>
      <c r="O157" s="1">
        <f>IF(Regions_master[[#This Row],[Forecaster]]=Regions_master[[#Headers],[Ingo]],1,0)</f>
        <v>0</v>
      </c>
      <c r="P157" s="1">
        <f>IF(Regions_master[[#This Row],[Forecaster]]=Regions_master[[#Headers],[Danyira]],1,0)</f>
        <v>0</v>
      </c>
      <c r="Q157" s="1">
        <f>IF(Regions_master[[#This Row],[Forecaster]]=Regions_master[[#Headers],[Sebastian]],1,0)</f>
        <v>0</v>
      </c>
      <c r="R157" s="1">
        <f>IF(Regions_master[[#This Row],[Forecaster]]=Regions_master[[#Headers],[Yasu]],1,0)</f>
        <v>0</v>
      </c>
      <c r="S157" s="1">
        <f>IF(Regions_master[[#This Row],[Forecaster]]=Regions_master[[#Headers],[Zhenqian]],1,0)</f>
        <v>0</v>
      </c>
      <c r="T157" s="1">
        <f>IF(Regions_master[[#This Row],[Forecaster]]=Regions_master[[#Headers],[Berna]],1,0)</f>
        <v>1</v>
      </c>
      <c r="U157" s="1">
        <f>IF(Regions_master[[#This Row],[Forecaster]]=Regions_master[[#Headers],[Julian]],1,0)</f>
        <v>0</v>
      </c>
      <c r="V157" s="1">
        <f>IF(Regions_master[[#This Row],[Forecaster]]=Regions_master[[#Headers],[Katarzyna]],1,0)</f>
        <v>0</v>
      </c>
      <c r="W157" s="1">
        <v>1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1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1</v>
      </c>
      <c r="BO157" s="1">
        <v>0</v>
      </c>
      <c r="BP157" s="1">
        <v>0</v>
      </c>
      <c r="BQ157" s="1">
        <v>0</v>
      </c>
      <c r="BR157" s="1">
        <v>0</v>
      </c>
      <c r="BS157" s="1">
        <v>1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1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1</v>
      </c>
      <c r="CV157" s="1">
        <v>1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1</v>
      </c>
      <c r="DO157" s="1">
        <v>0</v>
      </c>
      <c r="DP157" s="1">
        <v>1</v>
      </c>
      <c r="DQ157" s="1">
        <v>1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1</v>
      </c>
      <c r="EE157" s="1">
        <v>0</v>
      </c>
      <c r="EF157" s="1">
        <v>0</v>
      </c>
      <c r="EG157" s="1">
        <v>1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1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1</v>
      </c>
      <c r="FB157" s="1">
        <v>0</v>
      </c>
      <c r="FC157" s="1">
        <v>0</v>
      </c>
      <c r="FD157" s="1">
        <v>1</v>
      </c>
      <c r="FE157" s="1">
        <v>1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1</v>
      </c>
      <c r="FM157" s="1">
        <v>0</v>
      </c>
      <c r="FN157" s="1">
        <v>0</v>
      </c>
      <c r="FO157" s="1">
        <v>0</v>
      </c>
      <c r="FP157" s="1">
        <v>0</v>
      </c>
      <c r="FQ157" s="1">
        <v>1</v>
      </c>
      <c r="FR157" s="1">
        <v>0</v>
      </c>
      <c r="FS157" s="1">
        <v>0</v>
      </c>
      <c r="FT157" s="1">
        <v>0</v>
      </c>
      <c r="FU157" s="1">
        <v>1</v>
      </c>
      <c r="FV157" s="1">
        <v>0</v>
      </c>
      <c r="FW157" s="1">
        <v>0</v>
      </c>
      <c r="FX157" s="1">
        <v>0</v>
      </c>
      <c r="FY157" s="1">
        <v>0</v>
      </c>
      <c r="FZ157" s="1">
        <v>1</v>
      </c>
      <c r="GA157" s="1">
        <v>0</v>
      </c>
      <c r="GB157" s="1">
        <v>0</v>
      </c>
      <c r="GC157" s="1">
        <v>0</v>
      </c>
      <c r="GD157" s="1">
        <v>1</v>
      </c>
      <c r="GE157" s="1">
        <v>0</v>
      </c>
      <c r="GF157" s="1">
        <v>1</v>
      </c>
      <c r="GG157" s="1">
        <v>1</v>
      </c>
      <c r="GH157" s="1">
        <v>1</v>
      </c>
      <c r="GI157" s="1">
        <v>1</v>
      </c>
      <c r="GJ157" s="1">
        <v>0</v>
      </c>
      <c r="GK157" s="1">
        <v>0</v>
      </c>
      <c r="GL157" s="1">
        <v>0</v>
      </c>
      <c r="GM157" s="1">
        <v>1</v>
      </c>
      <c r="GN157" s="1">
        <v>1</v>
      </c>
      <c r="GO157" s="1">
        <v>0</v>
      </c>
      <c r="GP157" s="1">
        <v>1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</row>
    <row r="158" spans="1:214" x14ac:dyDescent="0.2">
      <c r="A158" s="1" t="s">
        <v>604</v>
      </c>
      <c r="B158" s="1" t="s">
        <v>605</v>
      </c>
      <c r="D158" s="1" t="s">
        <v>606</v>
      </c>
      <c r="E158" s="1" t="s">
        <v>215</v>
      </c>
      <c r="F158" s="1">
        <v>0</v>
      </c>
      <c r="G158" s="1" t="s">
        <v>216</v>
      </c>
      <c r="H158" s="1" t="s">
        <v>296</v>
      </c>
      <c r="I158" s="1" t="s">
        <v>297</v>
      </c>
      <c r="J158" s="1">
        <v>0</v>
      </c>
      <c r="K158" s="1" t="s">
        <v>24</v>
      </c>
      <c r="L158" s="1" t="s">
        <v>235</v>
      </c>
      <c r="M158" s="1" t="s">
        <v>299</v>
      </c>
      <c r="N158" s="1">
        <f>IF(Regions_master[[#This Row],[Forecaster]]=Regions_master[[#Headers],[Grigor]],1,0)</f>
        <v>0</v>
      </c>
      <c r="O158" s="1">
        <f>IF(Regions_master[[#This Row],[Forecaster]]=Regions_master[[#Headers],[Ingo]],1,0)</f>
        <v>0</v>
      </c>
      <c r="P158" s="1">
        <f>IF(Regions_master[[#This Row],[Forecaster]]=Regions_master[[#Headers],[Danyira]],1,0)</f>
        <v>0</v>
      </c>
      <c r="Q158" s="1">
        <f>IF(Regions_master[[#This Row],[Forecaster]]=Regions_master[[#Headers],[Sebastian]],1,0)</f>
        <v>0</v>
      </c>
      <c r="R158" s="1">
        <f>IF(Regions_master[[#This Row],[Forecaster]]=Regions_master[[#Headers],[Yasu]],1,0)</f>
        <v>0</v>
      </c>
      <c r="S158" s="1">
        <f>IF(Regions_master[[#This Row],[Forecaster]]=Regions_master[[#Headers],[Zhenqian]],1,0)</f>
        <v>1</v>
      </c>
      <c r="T158" s="1">
        <f>IF(Regions_master[[#This Row],[Forecaster]]=Regions_master[[#Headers],[Berna]],1,0)</f>
        <v>0</v>
      </c>
      <c r="U158" s="1">
        <f>IF(Regions_master[[#This Row],[Forecaster]]=Regions_master[[#Headers],[Julian]],1,0)</f>
        <v>0</v>
      </c>
      <c r="V158" s="1">
        <f>IF(Regions_master[[#This Row],[Forecaster]]=Regions_master[[#Headers],[Katarzyna]],1,0)</f>
        <v>0</v>
      </c>
      <c r="W158" s="1">
        <v>1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1</v>
      </c>
      <c r="AU158" s="1">
        <v>1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1</v>
      </c>
      <c r="DD158" s="1">
        <v>0</v>
      </c>
      <c r="DE158" s="1">
        <v>1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1</v>
      </c>
      <c r="DM158" s="1">
        <v>0</v>
      </c>
      <c r="DN158" s="1">
        <v>0</v>
      </c>
      <c r="DO158" s="1">
        <v>0</v>
      </c>
      <c r="DP158" s="1">
        <v>1</v>
      </c>
      <c r="DQ158" s="1">
        <v>1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1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1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1</v>
      </c>
      <c r="FB158" s="1">
        <v>0</v>
      </c>
      <c r="FC158" s="1">
        <v>0</v>
      </c>
      <c r="FD158" s="1">
        <v>1</v>
      </c>
      <c r="FE158" s="1">
        <v>1</v>
      </c>
      <c r="FF158" s="1">
        <v>1</v>
      </c>
      <c r="FG158" s="1">
        <v>1</v>
      </c>
      <c r="FH158" s="1">
        <v>1</v>
      </c>
      <c r="FI158" s="1">
        <v>1</v>
      </c>
      <c r="FJ158" s="1">
        <v>1</v>
      </c>
      <c r="FK158" s="1">
        <v>1</v>
      </c>
      <c r="FL158" s="1">
        <v>1</v>
      </c>
      <c r="FM158" s="1">
        <v>0</v>
      </c>
      <c r="FN158" s="1">
        <v>0</v>
      </c>
      <c r="FO158" s="1">
        <v>0</v>
      </c>
      <c r="FP158" s="1">
        <v>0</v>
      </c>
      <c r="FQ158" s="1">
        <v>1</v>
      </c>
      <c r="FR158" s="1">
        <v>0</v>
      </c>
      <c r="FS158" s="1">
        <v>1</v>
      </c>
      <c r="FT158" s="1">
        <v>1</v>
      </c>
      <c r="FU158" s="1">
        <v>0</v>
      </c>
      <c r="FV158" s="1">
        <v>0</v>
      </c>
      <c r="FW158" s="1">
        <v>0</v>
      </c>
      <c r="FX158" s="1">
        <v>0</v>
      </c>
      <c r="FY158" s="1">
        <v>1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1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</row>
    <row r="159" spans="1:214" x14ac:dyDescent="0.2">
      <c r="A159" s="1" t="s">
        <v>607</v>
      </c>
      <c r="B159" s="1" t="s">
        <v>607</v>
      </c>
      <c r="D159" s="1" t="s">
        <v>608</v>
      </c>
      <c r="E159" s="1" t="s">
        <v>215</v>
      </c>
      <c r="F159" s="1">
        <v>0</v>
      </c>
      <c r="G159" s="1" t="s">
        <v>244</v>
      </c>
      <c r="H159" s="1" t="s">
        <v>223</v>
      </c>
      <c r="I159" s="1" t="s">
        <v>244</v>
      </c>
      <c r="J159" s="1">
        <v>762</v>
      </c>
      <c r="K159" s="1" t="s">
        <v>23</v>
      </c>
      <c r="L159" s="1" t="s">
        <v>245</v>
      </c>
      <c r="M159" s="1" t="s">
        <v>13</v>
      </c>
      <c r="N159" s="1">
        <f>IF(Regions_master[[#This Row],[Forecaster]]=Regions_master[[#Headers],[Grigor]],1,0)</f>
        <v>1</v>
      </c>
      <c r="O159" s="1">
        <f>IF(Regions_master[[#This Row],[Forecaster]]=Regions_master[[#Headers],[Ingo]],1,0)</f>
        <v>0</v>
      </c>
      <c r="P159" s="1">
        <f>IF(Regions_master[[#This Row],[Forecaster]]=Regions_master[[#Headers],[Danyira]],1,0)</f>
        <v>0</v>
      </c>
      <c r="Q159" s="1">
        <f>IF(Regions_master[[#This Row],[Forecaster]]=Regions_master[[#Headers],[Sebastian]],1,0)</f>
        <v>0</v>
      </c>
      <c r="R159" s="1">
        <f>IF(Regions_master[[#This Row],[Forecaster]]=Regions_master[[#Headers],[Yasu]],1,0)</f>
        <v>0</v>
      </c>
      <c r="S159" s="1">
        <f>IF(Regions_master[[#This Row],[Forecaster]]=Regions_master[[#Headers],[Zhenqian]],1,0)</f>
        <v>0</v>
      </c>
      <c r="T159" s="1">
        <f>IF(Regions_master[[#This Row],[Forecaster]]=Regions_master[[#Headers],[Berna]],1,0)</f>
        <v>0</v>
      </c>
      <c r="U159" s="1">
        <f>IF(Regions_master[[#This Row],[Forecaster]]=Regions_master[[#Headers],[Julian]],1,0)</f>
        <v>0</v>
      </c>
      <c r="V159" s="1">
        <f>IF(Regions_master[[#This Row],[Forecaster]]=Regions_master[[#Headers],[Katarzyna]],1,0)</f>
        <v>0</v>
      </c>
      <c r="W159" s="1">
        <v>1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1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1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1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1</v>
      </c>
      <c r="CV159" s="1">
        <v>1</v>
      </c>
      <c r="CW159" s="1">
        <v>0</v>
      </c>
      <c r="CX159" s="1">
        <v>0</v>
      </c>
      <c r="CY159" s="1">
        <v>0</v>
      </c>
      <c r="CZ159" s="1">
        <v>1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1</v>
      </c>
      <c r="DP159" s="1">
        <v>1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1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1</v>
      </c>
      <c r="EV159" s="1">
        <v>0</v>
      </c>
      <c r="EW159" s="1">
        <v>0</v>
      </c>
      <c r="EX159" s="1">
        <v>1</v>
      </c>
      <c r="EY159" s="1">
        <v>1</v>
      </c>
      <c r="EZ159" s="1">
        <v>1</v>
      </c>
      <c r="FA159" s="1">
        <v>1</v>
      </c>
      <c r="FB159" s="1">
        <v>0</v>
      </c>
      <c r="FC159" s="1">
        <v>1</v>
      </c>
      <c r="FD159" s="1">
        <v>1</v>
      </c>
      <c r="FE159" s="1">
        <v>1</v>
      </c>
      <c r="FF159" s="1">
        <v>1</v>
      </c>
      <c r="FG159" s="1">
        <v>1</v>
      </c>
      <c r="FH159" s="1">
        <v>1</v>
      </c>
      <c r="FI159" s="1">
        <v>0</v>
      </c>
      <c r="FJ159" s="1">
        <v>0</v>
      </c>
      <c r="FK159" s="1">
        <v>0</v>
      </c>
      <c r="FL159" s="1">
        <v>0</v>
      </c>
      <c r="FM159" s="1">
        <v>1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1</v>
      </c>
      <c r="GE159" s="1">
        <v>0</v>
      </c>
      <c r="GF159" s="1">
        <v>0</v>
      </c>
      <c r="GG159" s="1">
        <v>1</v>
      </c>
      <c r="GH159" s="1">
        <v>1</v>
      </c>
      <c r="GI159" s="1">
        <v>0</v>
      </c>
      <c r="GJ159" s="1">
        <v>0</v>
      </c>
      <c r="GK159" s="1">
        <v>0</v>
      </c>
      <c r="GL159" s="1">
        <v>1</v>
      </c>
      <c r="GM159" s="1">
        <v>0</v>
      </c>
      <c r="GN159" s="1">
        <v>1</v>
      </c>
      <c r="GO159" s="1">
        <v>0</v>
      </c>
      <c r="GP159" s="1">
        <v>0</v>
      </c>
      <c r="GQ159" s="1">
        <v>0</v>
      </c>
      <c r="GR159" s="1">
        <v>0</v>
      </c>
      <c r="GS159" s="1">
        <v>1</v>
      </c>
      <c r="GT159" s="1">
        <v>1</v>
      </c>
      <c r="GU159" s="1">
        <v>1</v>
      </c>
      <c r="GV159" s="1">
        <v>1</v>
      </c>
      <c r="GW159" s="1">
        <v>1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1</v>
      </c>
      <c r="HD159" s="1">
        <v>1</v>
      </c>
      <c r="HE159" s="1">
        <v>0</v>
      </c>
      <c r="HF159" s="1">
        <v>1</v>
      </c>
    </row>
    <row r="160" spans="1:214" x14ac:dyDescent="0.2">
      <c r="A160" s="1" t="s">
        <v>609</v>
      </c>
      <c r="B160" s="1" t="s">
        <v>609</v>
      </c>
      <c r="D160" s="1" t="s">
        <v>462</v>
      </c>
      <c r="E160" s="1" t="s">
        <v>215</v>
      </c>
      <c r="F160" s="1">
        <v>0</v>
      </c>
      <c r="G160" s="1" t="s">
        <v>216</v>
      </c>
      <c r="H160" s="1" t="s">
        <v>296</v>
      </c>
      <c r="I160" s="1" t="s">
        <v>297</v>
      </c>
      <c r="J160" s="1">
        <v>764</v>
      </c>
      <c r="K160" s="1" t="s">
        <v>24</v>
      </c>
      <c r="L160" s="1" t="s">
        <v>235</v>
      </c>
      <c r="M160" s="1" t="s">
        <v>299</v>
      </c>
      <c r="N160" s="1">
        <f>IF(Regions_master[[#This Row],[Forecaster]]=Regions_master[[#Headers],[Grigor]],1,0)</f>
        <v>0</v>
      </c>
      <c r="O160" s="1">
        <f>IF(Regions_master[[#This Row],[Forecaster]]=Regions_master[[#Headers],[Ingo]],1,0)</f>
        <v>0</v>
      </c>
      <c r="P160" s="1">
        <f>IF(Regions_master[[#This Row],[Forecaster]]=Regions_master[[#Headers],[Danyira]],1,0)</f>
        <v>0</v>
      </c>
      <c r="Q160" s="1">
        <f>IF(Regions_master[[#This Row],[Forecaster]]=Regions_master[[#Headers],[Sebastian]],1,0)</f>
        <v>0</v>
      </c>
      <c r="R160" s="1">
        <f>IF(Regions_master[[#This Row],[Forecaster]]=Regions_master[[#Headers],[Yasu]],1,0)</f>
        <v>0</v>
      </c>
      <c r="S160" s="1">
        <f>IF(Regions_master[[#This Row],[Forecaster]]=Regions_master[[#Headers],[Zhenqian]],1,0)</f>
        <v>1</v>
      </c>
      <c r="T160" s="1">
        <f>IF(Regions_master[[#This Row],[Forecaster]]=Regions_master[[#Headers],[Berna]],1,0)</f>
        <v>0</v>
      </c>
      <c r="U160" s="1">
        <f>IF(Regions_master[[#This Row],[Forecaster]]=Regions_master[[#Headers],[Julian]],1,0)</f>
        <v>0</v>
      </c>
      <c r="V160" s="1">
        <f>IF(Regions_master[[#This Row],[Forecaster]]=Regions_master[[#Headers],[Katarzyna]],1,0)</f>
        <v>0</v>
      </c>
      <c r="W160" s="1">
        <v>1</v>
      </c>
      <c r="X160" s="1">
        <v>0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</v>
      </c>
      <c r="AU160" s="1">
        <v>1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1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1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1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1</v>
      </c>
      <c r="DD160" s="1">
        <v>0</v>
      </c>
      <c r="DE160" s="1">
        <v>1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1</v>
      </c>
      <c r="DM160" s="1">
        <v>0</v>
      </c>
      <c r="DN160" s="1">
        <v>0</v>
      </c>
      <c r="DO160" s="1">
        <v>0</v>
      </c>
      <c r="DP160" s="1">
        <v>1</v>
      </c>
      <c r="DQ160" s="1">
        <v>1</v>
      </c>
      <c r="DR160" s="1">
        <v>0</v>
      </c>
      <c r="DS160" s="1">
        <v>0</v>
      </c>
      <c r="DT160" s="1">
        <v>0</v>
      </c>
      <c r="DU160" s="1">
        <v>1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1</v>
      </c>
      <c r="ED160" s="1">
        <v>0</v>
      </c>
      <c r="EE160" s="1">
        <v>0</v>
      </c>
      <c r="EF160" s="1">
        <v>1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1</v>
      </c>
      <c r="EO160" s="1">
        <v>0</v>
      </c>
      <c r="EP160" s="1">
        <v>0</v>
      </c>
      <c r="EQ160" s="1">
        <v>0</v>
      </c>
      <c r="ER160" s="1">
        <v>0</v>
      </c>
      <c r="ES160" s="1">
        <v>1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1</v>
      </c>
      <c r="FC160" s="1">
        <v>0</v>
      </c>
      <c r="FD160" s="1">
        <v>1</v>
      </c>
      <c r="FE160" s="1">
        <v>1</v>
      </c>
      <c r="FF160" s="1">
        <v>1</v>
      </c>
      <c r="FG160" s="1">
        <v>1</v>
      </c>
      <c r="FH160" s="1">
        <v>1</v>
      </c>
      <c r="FI160" s="1">
        <v>1</v>
      </c>
      <c r="FJ160" s="1">
        <v>1</v>
      </c>
      <c r="FK160" s="1">
        <v>1</v>
      </c>
      <c r="FL160" s="1">
        <v>1</v>
      </c>
      <c r="FM160" s="1">
        <v>0</v>
      </c>
      <c r="FN160" s="1">
        <v>0</v>
      </c>
      <c r="FO160" s="1">
        <v>0</v>
      </c>
      <c r="FP160" s="1">
        <v>0</v>
      </c>
      <c r="FQ160" s="1">
        <v>1</v>
      </c>
      <c r="FR160" s="1">
        <v>0</v>
      </c>
      <c r="FS160" s="1">
        <v>1</v>
      </c>
      <c r="FT160" s="1">
        <v>1</v>
      </c>
      <c r="FU160" s="1">
        <v>0</v>
      </c>
      <c r="FV160" s="1">
        <v>0</v>
      </c>
      <c r="FW160" s="1">
        <v>0</v>
      </c>
      <c r="FX160" s="1">
        <v>0</v>
      </c>
      <c r="FY160" s="1">
        <v>1</v>
      </c>
      <c r="FZ160" s="1">
        <v>0</v>
      </c>
      <c r="GA160" s="1">
        <v>0</v>
      </c>
      <c r="GB160" s="1">
        <v>0</v>
      </c>
      <c r="GC160" s="1">
        <v>0</v>
      </c>
      <c r="GD160" s="1">
        <v>1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1</v>
      </c>
      <c r="GK160" s="1">
        <v>0</v>
      </c>
      <c r="GL160" s="1">
        <v>0</v>
      </c>
      <c r="GM160" s="1">
        <v>0</v>
      </c>
      <c r="GN160" s="1">
        <v>1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1</v>
      </c>
      <c r="GU160" s="1">
        <v>1</v>
      </c>
      <c r="GV160" s="1">
        <v>1</v>
      </c>
      <c r="GW160" s="1">
        <v>1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1</v>
      </c>
      <c r="HD160" s="1">
        <v>1</v>
      </c>
      <c r="HE160" s="1">
        <v>1</v>
      </c>
      <c r="HF160" s="1">
        <v>0</v>
      </c>
    </row>
    <row r="161" spans="1:214" x14ac:dyDescent="0.2">
      <c r="A161" s="1" t="s">
        <v>610</v>
      </c>
      <c r="B161" s="1" t="s">
        <v>611</v>
      </c>
      <c r="D161" s="1" t="s">
        <v>612</v>
      </c>
      <c r="E161" s="1" t="s">
        <v>215</v>
      </c>
      <c r="F161" s="1">
        <v>0</v>
      </c>
      <c r="G161" s="1" t="s">
        <v>216</v>
      </c>
      <c r="H161" s="1" t="s">
        <v>296</v>
      </c>
      <c r="I161" s="1" t="s">
        <v>297</v>
      </c>
      <c r="J161" s="1">
        <v>626</v>
      </c>
      <c r="K161" s="1" t="s">
        <v>24</v>
      </c>
      <c r="L161" s="1" t="s">
        <v>261</v>
      </c>
      <c r="M161" s="1" t="s">
        <v>299</v>
      </c>
      <c r="N161" s="1">
        <f>IF(Regions_master[[#This Row],[Forecaster]]=Regions_master[[#Headers],[Grigor]],1,0)</f>
        <v>0</v>
      </c>
      <c r="O161" s="1">
        <f>IF(Regions_master[[#This Row],[Forecaster]]=Regions_master[[#Headers],[Ingo]],1,0)</f>
        <v>0</v>
      </c>
      <c r="P161" s="1">
        <f>IF(Regions_master[[#This Row],[Forecaster]]=Regions_master[[#Headers],[Danyira]],1,0)</f>
        <v>0</v>
      </c>
      <c r="Q161" s="1">
        <f>IF(Regions_master[[#This Row],[Forecaster]]=Regions_master[[#Headers],[Sebastian]],1,0)</f>
        <v>0</v>
      </c>
      <c r="R161" s="1">
        <f>IF(Regions_master[[#This Row],[Forecaster]]=Regions_master[[#Headers],[Yasu]],1,0)</f>
        <v>0</v>
      </c>
      <c r="S161" s="1">
        <f>IF(Regions_master[[#This Row],[Forecaster]]=Regions_master[[#Headers],[Zhenqian]],1,0)</f>
        <v>1</v>
      </c>
      <c r="T161" s="1">
        <f>IF(Regions_master[[#This Row],[Forecaster]]=Regions_master[[#Headers],[Berna]],1,0)</f>
        <v>0</v>
      </c>
      <c r="U161" s="1">
        <f>IF(Regions_master[[#This Row],[Forecaster]]=Regions_master[[#Headers],[Julian]],1,0)</f>
        <v>0</v>
      </c>
      <c r="V161" s="1">
        <f>IF(Regions_master[[#This Row],[Forecaster]]=Regions_master[[#Headers],[Katarzyna]],1,0)</f>
        <v>0</v>
      </c>
      <c r="W161" s="1">
        <v>1</v>
      </c>
      <c r="X161" s="1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1</v>
      </c>
      <c r="AV161" s="1">
        <v>0</v>
      </c>
      <c r="AW161" s="1">
        <v>1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1</v>
      </c>
      <c r="BG161" s="1">
        <v>0</v>
      </c>
      <c r="BH161" s="1">
        <v>1</v>
      </c>
      <c r="BI161" s="1">
        <v>0</v>
      </c>
      <c r="BJ161" s="1">
        <v>0</v>
      </c>
      <c r="BK161" s="1">
        <v>0</v>
      </c>
      <c r="BL161" s="1">
        <v>1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1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1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1</v>
      </c>
      <c r="CV161" s="1">
        <v>1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1</v>
      </c>
      <c r="DD161" s="1">
        <v>1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1</v>
      </c>
      <c r="DM161" s="1">
        <v>0</v>
      </c>
      <c r="DN161" s="1">
        <v>0</v>
      </c>
      <c r="DO161" s="1">
        <v>0</v>
      </c>
      <c r="DP161" s="1">
        <v>1</v>
      </c>
      <c r="DQ161" s="1">
        <v>1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1</v>
      </c>
      <c r="ED161" s="1">
        <v>0</v>
      </c>
      <c r="EE161" s="1">
        <v>1</v>
      </c>
      <c r="EF161" s="1">
        <v>0</v>
      </c>
      <c r="EG161" s="1">
        <v>0</v>
      </c>
      <c r="EH161" s="1">
        <v>1</v>
      </c>
      <c r="EI161" s="1">
        <v>1</v>
      </c>
      <c r="EJ161" s="1">
        <v>1</v>
      </c>
      <c r="EK161" s="1">
        <v>0</v>
      </c>
      <c r="EL161" s="1">
        <v>0</v>
      </c>
      <c r="EM161" s="1">
        <v>0</v>
      </c>
      <c r="EN161" s="1">
        <v>1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1</v>
      </c>
      <c r="FE161" s="1">
        <v>1</v>
      </c>
      <c r="FF161" s="1">
        <v>1</v>
      </c>
      <c r="FG161" s="1">
        <v>1</v>
      </c>
      <c r="FH161" s="1">
        <v>1</v>
      </c>
      <c r="FI161" s="1">
        <v>1</v>
      </c>
      <c r="FJ161" s="1">
        <v>1</v>
      </c>
      <c r="FK161" s="1">
        <v>1</v>
      </c>
      <c r="FL161" s="1">
        <v>1</v>
      </c>
      <c r="FM161" s="1">
        <v>0</v>
      </c>
      <c r="FN161" s="1">
        <v>0</v>
      </c>
      <c r="FO161" s="1">
        <v>0</v>
      </c>
      <c r="FP161" s="1">
        <v>0</v>
      </c>
      <c r="FQ161" s="1">
        <v>1</v>
      </c>
      <c r="FR161" s="1">
        <v>0</v>
      </c>
      <c r="FS161" s="1">
        <v>1</v>
      </c>
      <c r="FT161" s="1">
        <v>1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1</v>
      </c>
      <c r="GE161" s="1">
        <v>0</v>
      </c>
      <c r="GF161" s="1">
        <v>0</v>
      </c>
      <c r="GG161" s="1">
        <v>0</v>
      </c>
      <c r="GH161" s="1">
        <v>1</v>
      </c>
      <c r="GI161" s="1">
        <v>0</v>
      </c>
      <c r="GJ161" s="1">
        <v>0</v>
      </c>
      <c r="GK161" s="1">
        <v>1</v>
      </c>
      <c r="GL161" s="1">
        <v>1</v>
      </c>
      <c r="GM161" s="1">
        <v>0</v>
      </c>
      <c r="GN161" s="1">
        <v>1</v>
      </c>
      <c r="GO161" s="1">
        <v>1</v>
      </c>
      <c r="GP161" s="1">
        <v>0</v>
      </c>
      <c r="GQ161" s="1">
        <v>0</v>
      </c>
      <c r="GR161" s="1">
        <v>0</v>
      </c>
      <c r="GS161" s="1">
        <v>0</v>
      </c>
      <c r="GT161" s="1">
        <v>1</v>
      </c>
      <c r="GU161" s="1">
        <v>1</v>
      </c>
      <c r="GV161" s="1">
        <v>1</v>
      </c>
      <c r="GW161" s="1">
        <v>1</v>
      </c>
      <c r="GX161" s="1">
        <v>1</v>
      </c>
      <c r="GY161" s="1">
        <v>0</v>
      </c>
      <c r="GZ161" s="1">
        <v>0</v>
      </c>
      <c r="HA161" s="1">
        <v>0</v>
      </c>
      <c r="HB161" s="1">
        <v>0</v>
      </c>
      <c r="HC161" s="1">
        <v>1</v>
      </c>
      <c r="HD161" s="1">
        <v>1</v>
      </c>
      <c r="HE161" s="1">
        <v>0</v>
      </c>
      <c r="HF161" s="1">
        <v>0</v>
      </c>
    </row>
    <row r="162" spans="1:214" x14ac:dyDescent="0.2">
      <c r="A162" s="1" t="s">
        <v>613</v>
      </c>
      <c r="B162" s="1" t="s">
        <v>613</v>
      </c>
      <c r="D162" s="1" t="s">
        <v>614</v>
      </c>
      <c r="E162" s="1" t="s">
        <v>215</v>
      </c>
      <c r="F162" s="1">
        <v>0</v>
      </c>
      <c r="G162" s="1" t="s">
        <v>227</v>
      </c>
      <c r="H162" s="1" t="s">
        <v>280</v>
      </c>
      <c r="I162" s="1" t="s">
        <v>281</v>
      </c>
      <c r="J162" s="1">
        <v>768</v>
      </c>
      <c r="K162" s="1" t="s">
        <v>24</v>
      </c>
      <c r="L162" s="1" t="s">
        <v>304</v>
      </c>
      <c r="M162" s="1" t="s">
        <v>19</v>
      </c>
      <c r="N162" s="1">
        <f>IF(Regions_master[[#This Row],[Forecaster]]=Regions_master[[#Headers],[Grigor]],1,0)</f>
        <v>0</v>
      </c>
      <c r="O162" s="1">
        <f>IF(Regions_master[[#This Row],[Forecaster]]=Regions_master[[#Headers],[Ingo]],1,0)</f>
        <v>0</v>
      </c>
      <c r="P162" s="1">
        <f>IF(Regions_master[[#This Row],[Forecaster]]=Regions_master[[#Headers],[Danyira]],1,0)</f>
        <v>0</v>
      </c>
      <c r="Q162" s="1">
        <f>IF(Regions_master[[#This Row],[Forecaster]]=Regions_master[[#Headers],[Sebastian]],1,0)</f>
        <v>0</v>
      </c>
      <c r="R162" s="1">
        <f>IF(Regions_master[[#This Row],[Forecaster]]=Regions_master[[#Headers],[Yasu]],1,0)</f>
        <v>0</v>
      </c>
      <c r="S162" s="1">
        <f>IF(Regions_master[[#This Row],[Forecaster]]=Regions_master[[#Headers],[Zhenqian]],1,0)</f>
        <v>0</v>
      </c>
      <c r="T162" s="1">
        <f>IF(Regions_master[[#This Row],[Forecaster]]=Regions_master[[#Headers],[Berna]],1,0)</f>
        <v>0</v>
      </c>
      <c r="U162" s="1">
        <f>IF(Regions_master[[#This Row],[Forecaster]]=Regions_master[[#Headers],[Julian]],1,0)</f>
        <v>1</v>
      </c>
      <c r="V162" s="1">
        <f>IF(Regions_master[[#This Row],[Forecaster]]=Regions_master[[#Headers],[Katarzyna]],1,0)</f>
        <v>0</v>
      </c>
      <c r="W162" s="1">
        <v>1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</v>
      </c>
      <c r="AO162" s="1">
        <v>0</v>
      </c>
      <c r="AP162" s="1">
        <v>0</v>
      </c>
      <c r="AQ162" s="1">
        <v>0</v>
      </c>
      <c r="AR162" s="1">
        <v>0</v>
      </c>
      <c r="AS162" s="1">
        <v>1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1</v>
      </c>
      <c r="BH162" s="1">
        <v>1</v>
      </c>
      <c r="BI162" s="1">
        <v>1</v>
      </c>
      <c r="BJ162" s="1">
        <v>1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1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1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1</v>
      </c>
      <c r="CQ162" s="1">
        <v>0</v>
      </c>
      <c r="CR162" s="1">
        <v>0</v>
      </c>
      <c r="CS162" s="1">
        <v>0</v>
      </c>
      <c r="CT162" s="1">
        <v>0</v>
      </c>
      <c r="CU162" s="1">
        <v>1</v>
      </c>
      <c r="CV162" s="1">
        <v>1</v>
      </c>
      <c r="CW162" s="1">
        <v>1</v>
      </c>
      <c r="CX162" s="1">
        <v>0</v>
      </c>
      <c r="CY162" s="1">
        <v>0</v>
      </c>
      <c r="CZ162" s="1">
        <v>0</v>
      </c>
      <c r="DA162" s="1">
        <v>0</v>
      </c>
      <c r="DB162" s="1">
        <v>1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1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1</v>
      </c>
      <c r="DQ162" s="1">
        <v>1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1</v>
      </c>
      <c r="DZ162" s="1">
        <v>0</v>
      </c>
      <c r="EA162" s="1">
        <v>0</v>
      </c>
      <c r="EB162" s="1">
        <v>0</v>
      </c>
      <c r="EC162" s="1">
        <v>1</v>
      </c>
      <c r="ED162" s="1">
        <v>0</v>
      </c>
      <c r="EE162" s="1">
        <v>0</v>
      </c>
      <c r="EF162" s="1">
        <v>1</v>
      </c>
      <c r="EG162" s="1">
        <v>0</v>
      </c>
      <c r="EH162" s="1">
        <v>0</v>
      </c>
      <c r="EI162" s="1">
        <v>0</v>
      </c>
      <c r="EJ162" s="1">
        <v>1</v>
      </c>
      <c r="EK162" s="1">
        <v>1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1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1</v>
      </c>
      <c r="EY162" s="1">
        <v>0</v>
      </c>
      <c r="EZ162" s="1">
        <v>0</v>
      </c>
      <c r="FA162" s="1">
        <v>0</v>
      </c>
      <c r="FB162" s="1">
        <v>1</v>
      </c>
      <c r="FC162" s="1">
        <v>0</v>
      </c>
      <c r="FD162" s="1">
        <v>1</v>
      </c>
      <c r="FE162" s="1">
        <v>1</v>
      </c>
      <c r="FF162" s="1">
        <v>1</v>
      </c>
      <c r="FG162" s="1">
        <v>1</v>
      </c>
      <c r="FH162" s="1">
        <v>1</v>
      </c>
      <c r="FI162" s="1">
        <v>1</v>
      </c>
      <c r="FJ162" s="1">
        <v>1</v>
      </c>
      <c r="FK162" s="1">
        <v>1</v>
      </c>
      <c r="FL162" s="1">
        <v>1</v>
      </c>
      <c r="FM162" s="1">
        <v>0</v>
      </c>
      <c r="FN162" s="1">
        <v>0</v>
      </c>
      <c r="FO162" s="1">
        <v>0</v>
      </c>
      <c r="FP162" s="1">
        <v>1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1</v>
      </c>
      <c r="FY162" s="1">
        <v>0</v>
      </c>
      <c r="FZ162" s="1">
        <v>0</v>
      </c>
      <c r="GA162" s="1">
        <v>0</v>
      </c>
      <c r="GB162" s="1">
        <v>0</v>
      </c>
      <c r="GC162" s="1">
        <v>1</v>
      </c>
      <c r="GD162" s="1">
        <v>0</v>
      </c>
      <c r="GE162" s="1">
        <v>0</v>
      </c>
      <c r="GF162" s="1">
        <v>0</v>
      </c>
      <c r="GG162" s="1">
        <v>0</v>
      </c>
      <c r="GH162" s="1">
        <v>1</v>
      </c>
      <c r="GI162" s="1">
        <v>0</v>
      </c>
      <c r="GJ162" s="1">
        <v>1</v>
      </c>
      <c r="GK162" s="1">
        <v>0</v>
      </c>
      <c r="GL162" s="1">
        <v>0</v>
      </c>
      <c r="GM162" s="1">
        <v>1</v>
      </c>
      <c r="GN162" s="1">
        <v>1</v>
      </c>
      <c r="GO162" s="1">
        <v>1</v>
      </c>
      <c r="GP162" s="1">
        <v>0</v>
      </c>
      <c r="GQ162" s="1">
        <v>1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</row>
    <row r="163" spans="1:214" x14ac:dyDescent="0.2">
      <c r="A163" s="1" t="s">
        <v>615</v>
      </c>
      <c r="B163" s="1" t="s">
        <v>616</v>
      </c>
      <c r="D163" s="1" t="s">
        <v>617</v>
      </c>
      <c r="E163" s="1" t="s">
        <v>215</v>
      </c>
      <c r="F163" s="1">
        <v>0</v>
      </c>
      <c r="G163" s="1" t="s">
        <v>238</v>
      </c>
      <c r="H163" s="1" t="s">
        <v>259</v>
      </c>
      <c r="I163" s="1" t="s">
        <v>260</v>
      </c>
      <c r="J163" s="1">
        <v>780</v>
      </c>
      <c r="K163" s="1" t="s">
        <v>24</v>
      </c>
      <c r="L163" s="1" t="s">
        <v>261</v>
      </c>
      <c r="M163" s="1" t="s">
        <v>16</v>
      </c>
      <c r="N163" s="1">
        <f>IF(Regions_master[[#This Row],[Forecaster]]=Regions_master[[#Headers],[Grigor]],1,0)</f>
        <v>0</v>
      </c>
      <c r="O163" s="1">
        <f>IF(Regions_master[[#This Row],[Forecaster]]=Regions_master[[#Headers],[Ingo]],1,0)</f>
        <v>0</v>
      </c>
      <c r="P163" s="1">
        <f>IF(Regions_master[[#This Row],[Forecaster]]=Regions_master[[#Headers],[Danyira]],1,0)</f>
        <v>0</v>
      </c>
      <c r="Q163" s="1">
        <f>IF(Regions_master[[#This Row],[Forecaster]]=Regions_master[[#Headers],[Sebastian]],1,0)</f>
        <v>1</v>
      </c>
      <c r="R163" s="1">
        <f>IF(Regions_master[[#This Row],[Forecaster]]=Regions_master[[#Headers],[Yasu]],1,0)</f>
        <v>0</v>
      </c>
      <c r="S163" s="1">
        <f>IF(Regions_master[[#This Row],[Forecaster]]=Regions_master[[#Headers],[Zhenqian]],1,0)</f>
        <v>0</v>
      </c>
      <c r="T163" s="1">
        <f>IF(Regions_master[[#This Row],[Forecaster]]=Regions_master[[#Headers],[Berna]],1,0)</f>
        <v>0</v>
      </c>
      <c r="U163" s="1">
        <f>IF(Regions_master[[#This Row],[Forecaster]]=Regions_master[[#Headers],[Julian]],1,0)</f>
        <v>0</v>
      </c>
      <c r="V163" s="1">
        <f>IF(Regions_master[[#This Row],[Forecaster]]=Regions_master[[#Headers],[Katarzyna]],1,0)</f>
        <v>0</v>
      </c>
      <c r="W163" s="1">
        <v>1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1</v>
      </c>
      <c r="AZ163" s="1">
        <v>1</v>
      </c>
      <c r="BA163" s="1">
        <v>0</v>
      </c>
      <c r="BB163" s="1">
        <v>0</v>
      </c>
      <c r="BC163" s="1">
        <v>1</v>
      </c>
      <c r="BD163" s="1">
        <v>1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1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1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1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1</v>
      </c>
      <c r="CR163" s="1">
        <v>0</v>
      </c>
      <c r="CS163" s="1">
        <v>0</v>
      </c>
      <c r="CT163" s="1">
        <v>0</v>
      </c>
      <c r="CU163" s="1">
        <v>1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1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1</v>
      </c>
      <c r="DQ163" s="1">
        <v>1</v>
      </c>
      <c r="DR163" s="1">
        <v>1</v>
      </c>
      <c r="DS163" s="1">
        <v>0</v>
      </c>
      <c r="DT163" s="1">
        <v>1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1</v>
      </c>
      <c r="EE163" s="1">
        <v>0</v>
      </c>
      <c r="EF163" s="1">
        <v>1</v>
      </c>
      <c r="EG163" s="1">
        <v>0</v>
      </c>
      <c r="EH163" s="1">
        <v>1</v>
      </c>
      <c r="EI163" s="1">
        <v>1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1</v>
      </c>
      <c r="EP163" s="1">
        <v>0</v>
      </c>
      <c r="EQ163" s="1">
        <v>0</v>
      </c>
      <c r="ER163" s="1">
        <v>0</v>
      </c>
      <c r="ES163" s="1">
        <v>0</v>
      </c>
      <c r="ET163" s="1">
        <v>1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1</v>
      </c>
      <c r="FB163" s="1">
        <v>1</v>
      </c>
      <c r="FC163" s="1">
        <v>0</v>
      </c>
      <c r="FD163" s="1">
        <v>1</v>
      </c>
      <c r="FE163" s="1">
        <v>1</v>
      </c>
      <c r="FF163" s="1">
        <v>1</v>
      </c>
      <c r="FG163" s="1">
        <v>1</v>
      </c>
      <c r="FH163" s="1">
        <v>1</v>
      </c>
      <c r="FI163" s="1">
        <v>1</v>
      </c>
      <c r="FJ163" s="1">
        <v>1</v>
      </c>
      <c r="FK163" s="1">
        <v>1</v>
      </c>
      <c r="FL163" s="1">
        <v>1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1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1</v>
      </c>
      <c r="GH163" s="1">
        <v>0</v>
      </c>
      <c r="GI163" s="1">
        <v>0</v>
      </c>
      <c r="GJ163" s="1">
        <v>1</v>
      </c>
      <c r="GK163" s="1">
        <v>1</v>
      </c>
      <c r="GL163" s="1">
        <v>0</v>
      </c>
      <c r="GM163" s="1">
        <v>0</v>
      </c>
      <c r="GN163" s="1">
        <v>1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1</v>
      </c>
      <c r="HB163" s="1">
        <v>1</v>
      </c>
      <c r="HC163" s="1">
        <v>0</v>
      </c>
      <c r="HD163" s="1">
        <v>0</v>
      </c>
      <c r="HE163" s="1">
        <v>0</v>
      </c>
      <c r="HF163" s="1">
        <v>0</v>
      </c>
    </row>
    <row r="164" spans="1:214" x14ac:dyDescent="0.2">
      <c r="A164" s="1" t="s">
        <v>618</v>
      </c>
      <c r="B164" s="1" t="s">
        <v>618</v>
      </c>
      <c r="D164" s="1" t="s">
        <v>619</v>
      </c>
      <c r="E164" s="1" t="s">
        <v>215</v>
      </c>
      <c r="F164" s="1">
        <v>0</v>
      </c>
      <c r="G164" s="1" t="s">
        <v>227</v>
      </c>
      <c r="H164" s="1" t="s">
        <v>228</v>
      </c>
      <c r="I164" s="1" t="s">
        <v>229</v>
      </c>
      <c r="J164" s="1">
        <v>788</v>
      </c>
      <c r="K164" s="1" t="s">
        <v>24</v>
      </c>
      <c r="L164" s="1" t="s">
        <v>336</v>
      </c>
      <c r="M164" s="1" t="s">
        <v>17</v>
      </c>
      <c r="N164" s="1">
        <f>IF(Regions_master[[#This Row],[Forecaster]]=Regions_master[[#Headers],[Grigor]],1,0)</f>
        <v>0</v>
      </c>
      <c r="O164" s="1">
        <f>IF(Regions_master[[#This Row],[Forecaster]]=Regions_master[[#Headers],[Ingo]],1,0)</f>
        <v>0</v>
      </c>
      <c r="P164" s="1">
        <f>IF(Regions_master[[#This Row],[Forecaster]]=Regions_master[[#Headers],[Danyira]],1,0)</f>
        <v>0</v>
      </c>
      <c r="Q164" s="1">
        <f>IF(Regions_master[[#This Row],[Forecaster]]=Regions_master[[#Headers],[Sebastian]],1,0)</f>
        <v>0</v>
      </c>
      <c r="R164" s="1">
        <f>IF(Regions_master[[#This Row],[Forecaster]]=Regions_master[[#Headers],[Yasu]],1,0)</f>
        <v>1</v>
      </c>
      <c r="S164" s="1">
        <f>IF(Regions_master[[#This Row],[Forecaster]]=Regions_master[[#Headers],[Zhenqian]],1,0)</f>
        <v>0</v>
      </c>
      <c r="T164" s="1">
        <f>IF(Regions_master[[#This Row],[Forecaster]]=Regions_master[[#Headers],[Berna]],1,0)</f>
        <v>0</v>
      </c>
      <c r="U164" s="1">
        <f>IF(Regions_master[[#This Row],[Forecaster]]=Regions_master[[#Headers],[Julian]],1,0)</f>
        <v>0</v>
      </c>
      <c r="V164" s="1">
        <f>IF(Regions_master[[#This Row],[Forecaster]]=Regions_master[[#Headers],[Katarzyna]],1,0)</f>
        <v>0</v>
      </c>
      <c r="W164" s="1">
        <v>1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1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1</v>
      </c>
      <c r="BO164" s="1">
        <v>0</v>
      </c>
      <c r="BP164" s="1">
        <v>0</v>
      </c>
      <c r="BQ164" s="1">
        <v>1</v>
      </c>
      <c r="BR164" s="1">
        <v>0</v>
      </c>
      <c r="BS164" s="1">
        <v>0</v>
      </c>
      <c r="BT164" s="1">
        <v>0</v>
      </c>
      <c r="BU164" s="1">
        <v>0</v>
      </c>
      <c r="BV164" s="1">
        <v>1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1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1</v>
      </c>
      <c r="DK164" s="1">
        <v>1</v>
      </c>
      <c r="DL164" s="1">
        <v>0</v>
      </c>
      <c r="DM164" s="1">
        <v>0</v>
      </c>
      <c r="DN164" s="1">
        <v>0</v>
      </c>
      <c r="DO164" s="1">
        <v>0</v>
      </c>
      <c r="DP164" s="1">
        <v>1</v>
      </c>
      <c r="DQ164" s="1">
        <v>1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1</v>
      </c>
      <c r="EE164" s="1">
        <v>0</v>
      </c>
      <c r="EF164" s="1">
        <v>1</v>
      </c>
      <c r="EG164" s="1">
        <v>0</v>
      </c>
      <c r="EH164" s="1">
        <v>0</v>
      </c>
      <c r="EI164" s="1">
        <v>0</v>
      </c>
      <c r="EJ164" s="1">
        <v>0</v>
      </c>
      <c r="EK164" s="1">
        <v>1</v>
      </c>
      <c r="EL164" s="1">
        <v>1</v>
      </c>
      <c r="EM164" s="1">
        <v>0</v>
      </c>
      <c r="EN164" s="1">
        <v>0</v>
      </c>
      <c r="EO164" s="1">
        <v>0</v>
      </c>
      <c r="EP164" s="1">
        <v>0</v>
      </c>
      <c r="EQ164" s="1">
        <v>1</v>
      </c>
      <c r="ER164" s="1">
        <v>0</v>
      </c>
      <c r="ES164" s="1">
        <v>0</v>
      </c>
      <c r="ET164" s="1">
        <v>0</v>
      </c>
      <c r="EU164" s="1">
        <v>0</v>
      </c>
      <c r="EV164" s="1">
        <v>1</v>
      </c>
      <c r="EW164" s="1">
        <v>0</v>
      </c>
      <c r="EX164" s="1">
        <v>0</v>
      </c>
      <c r="EY164" s="1">
        <v>0</v>
      </c>
      <c r="EZ164" s="1">
        <v>0</v>
      </c>
      <c r="FA164" s="1">
        <v>1</v>
      </c>
      <c r="FB164" s="1">
        <v>1</v>
      </c>
      <c r="FC164" s="1">
        <v>0</v>
      </c>
      <c r="FD164" s="1">
        <v>1</v>
      </c>
      <c r="FE164" s="1">
        <v>1</v>
      </c>
      <c r="FF164" s="1">
        <v>1</v>
      </c>
      <c r="FG164" s="1">
        <v>1</v>
      </c>
      <c r="FH164" s="1">
        <v>1</v>
      </c>
      <c r="FI164" s="1">
        <v>1</v>
      </c>
      <c r="FJ164" s="1">
        <v>1</v>
      </c>
      <c r="FK164" s="1">
        <v>1</v>
      </c>
      <c r="FL164" s="1">
        <v>1</v>
      </c>
      <c r="FM164" s="1">
        <v>0</v>
      </c>
      <c r="FN164" s="1">
        <v>0</v>
      </c>
      <c r="FO164" s="1">
        <v>0</v>
      </c>
      <c r="FP164" s="1">
        <v>1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1</v>
      </c>
      <c r="FY164" s="1">
        <v>0</v>
      </c>
      <c r="FZ164" s="1">
        <v>0</v>
      </c>
      <c r="GA164" s="1">
        <v>0</v>
      </c>
      <c r="GB164" s="1">
        <v>1</v>
      </c>
      <c r="GC164" s="1">
        <v>1</v>
      </c>
      <c r="GD164" s="1">
        <v>0</v>
      </c>
      <c r="GE164" s="1">
        <v>0</v>
      </c>
      <c r="GF164" s="1">
        <v>0</v>
      </c>
      <c r="GG164" s="1">
        <v>1</v>
      </c>
      <c r="GH164" s="1">
        <v>0</v>
      </c>
      <c r="GI164" s="1">
        <v>0</v>
      </c>
      <c r="GJ164" s="1">
        <v>1</v>
      </c>
      <c r="GK164" s="1">
        <v>0</v>
      </c>
      <c r="GL164" s="1">
        <v>1</v>
      </c>
      <c r="GM164" s="1">
        <v>0</v>
      </c>
      <c r="GN164" s="1">
        <v>1</v>
      </c>
      <c r="GO164" s="1">
        <v>0</v>
      </c>
      <c r="GP164" s="1">
        <v>1</v>
      </c>
      <c r="GQ164" s="1">
        <v>1</v>
      </c>
      <c r="GR164" s="1">
        <v>0</v>
      </c>
      <c r="GS164" s="1">
        <v>0</v>
      </c>
      <c r="GT164" s="1">
        <v>1</v>
      </c>
      <c r="GU164" s="1">
        <v>1</v>
      </c>
      <c r="GV164" s="1">
        <v>1</v>
      </c>
      <c r="GW164" s="1">
        <v>1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1</v>
      </c>
      <c r="HD164" s="1">
        <v>1</v>
      </c>
      <c r="HE164" s="1">
        <v>0</v>
      </c>
      <c r="HF164" s="1">
        <v>0</v>
      </c>
    </row>
    <row r="165" spans="1:214" x14ac:dyDescent="0.2">
      <c r="A165" s="1" t="s">
        <v>620</v>
      </c>
      <c r="B165" s="1" t="s">
        <v>621</v>
      </c>
      <c r="D165" s="1" t="s">
        <v>622</v>
      </c>
      <c r="E165" s="1" t="s">
        <v>215</v>
      </c>
      <c r="F165" s="1">
        <v>0</v>
      </c>
      <c r="G165" s="1" t="s">
        <v>216</v>
      </c>
      <c r="H165" s="1" t="s">
        <v>264</v>
      </c>
      <c r="I165" s="1" t="s">
        <v>265</v>
      </c>
      <c r="J165" s="1">
        <v>792</v>
      </c>
      <c r="K165" s="1" t="s">
        <v>24</v>
      </c>
      <c r="L165" s="1" t="s">
        <v>254</v>
      </c>
      <c r="M165" s="1" t="s">
        <v>18</v>
      </c>
      <c r="N165" s="1">
        <f>IF(Regions_master[[#This Row],[Forecaster]]=Regions_master[[#Headers],[Grigor]],1,0)</f>
        <v>0</v>
      </c>
      <c r="O165" s="1">
        <f>IF(Regions_master[[#This Row],[Forecaster]]=Regions_master[[#Headers],[Ingo]],1,0)</f>
        <v>0</v>
      </c>
      <c r="P165" s="1">
        <f>IF(Regions_master[[#This Row],[Forecaster]]=Regions_master[[#Headers],[Danyira]],1,0)</f>
        <v>0</v>
      </c>
      <c r="Q165" s="1">
        <f>IF(Regions_master[[#This Row],[Forecaster]]=Regions_master[[#Headers],[Sebastian]],1,0)</f>
        <v>0</v>
      </c>
      <c r="R165" s="1">
        <f>IF(Regions_master[[#This Row],[Forecaster]]=Regions_master[[#Headers],[Yasu]],1,0)</f>
        <v>0</v>
      </c>
      <c r="S165" s="1">
        <f>IF(Regions_master[[#This Row],[Forecaster]]=Regions_master[[#Headers],[Zhenqian]],1,0)</f>
        <v>0</v>
      </c>
      <c r="T165" s="1">
        <f>IF(Regions_master[[#This Row],[Forecaster]]=Regions_master[[#Headers],[Berna]],1,0)</f>
        <v>1</v>
      </c>
      <c r="U165" s="1">
        <f>IF(Regions_master[[#This Row],[Forecaster]]=Regions_master[[#Headers],[Julian]],1,0)</f>
        <v>0</v>
      </c>
      <c r="V165" s="1">
        <f>IF(Regions_master[[#This Row],[Forecaster]]=Regions_master[[#Headers],[Katarzyna]],1,0)</f>
        <v>0</v>
      </c>
      <c r="W165" s="1">
        <v>1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1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0</v>
      </c>
      <c r="AW165" s="1">
        <v>0</v>
      </c>
      <c r="AX165" s="1">
        <v>1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1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1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1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1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1</v>
      </c>
      <c r="DQ165" s="1">
        <v>1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1</v>
      </c>
      <c r="EE165" s="1">
        <v>0</v>
      </c>
      <c r="EF165" s="1">
        <v>1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1</v>
      </c>
      <c r="EQ165" s="1">
        <v>0</v>
      </c>
      <c r="ER165" s="1">
        <v>0</v>
      </c>
      <c r="ES165" s="1">
        <v>1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1</v>
      </c>
      <c r="FB165" s="1">
        <v>1</v>
      </c>
      <c r="FC165" s="1">
        <v>0</v>
      </c>
      <c r="FD165" s="1">
        <v>1</v>
      </c>
      <c r="FE165" s="1">
        <v>1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1</v>
      </c>
      <c r="FM165" s="1">
        <v>0</v>
      </c>
      <c r="FN165" s="1">
        <v>0</v>
      </c>
      <c r="FO165" s="1">
        <v>0</v>
      </c>
      <c r="FP165" s="1">
        <v>0</v>
      </c>
      <c r="FQ165" s="1">
        <v>1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1</v>
      </c>
      <c r="GA165" s="1">
        <v>0</v>
      </c>
      <c r="GB165" s="1">
        <v>0</v>
      </c>
      <c r="GC165" s="1">
        <v>0</v>
      </c>
      <c r="GD165" s="1">
        <v>1</v>
      </c>
      <c r="GE165" s="1">
        <v>0</v>
      </c>
      <c r="GF165" s="1">
        <v>1</v>
      </c>
      <c r="GG165" s="1">
        <v>1</v>
      </c>
      <c r="GH165" s="1">
        <v>0</v>
      </c>
      <c r="GI165" s="1">
        <v>0</v>
      </c>
      <c r="GJ165" s="1">
        <v>1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1</v>
      </c>
      <c r="GU165" s="1">
        <v>1</v>
      </c>
      <c r="GV165" s="1">
        <v>1</v>
      </c>
      <c r="GW165" s="1">
        <v>1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1</v>
      </c>
      <c r="HD165" s="1">
        <v>1</v>
      </c>
      <c r="HE165" s="1">
        <v>1</v>
      </c>
      <c r="HF165" s="1">
        <v>0</v>
      </c>
    </row>
    <row r="166" spans="1:214" x14ac:dyDescent="0.2">
      <c r="A166" s="1" t="s">
        <v>623</v>
      </c>
      <c r="B166" s="1" t="s">
        <v>623</v>
      </c>
      <c r="D166" s="1" t="s">
        <v>624</v>
      </c>
      <c r="E166" s="1" t="s">
        <v>215</v>
      </c>
      <c r="F166" s="1">
        <v>0</v>
      </c>
      <c r="G166" s="1" t="s">
        <v>244</v>
      </c>
      <c r="H166" s="1" t="s">
        <v>223</v>
      </c>
      <c r="I166" s="1" t="s">
        <v>244</v>
      </c>
      <c r="J166" s="1">
        <v>795</v>
      </c>
      <c r="K166" s="1" t="s">
        <v>23</v>
      </c>
      <c r="L166" s="1" t="s">
        <v>235</v>
      </c>
      <c r="M166" s="1" t="s">
        <v>13</v>
      </c>
      <c r="N166" s="1">
        <f>IF(Regions_master[[#This Row],[Forecaster]]=Regions_master[[#Headers],[Grigor]],1,0)</f>
        <v>1</v>
      </c>
      <c r="O166" s="1">
        <f>IF(Regions_master[[#This Row],[Forecaster]]=Regions_master[[#Headers],[Ingo]],1,0)</f>
        <v>0</v>
      </c>
      <c r="P166" s="1">
        <f>IF(Regions_master[[#This Row],[Forecaster]]=Regions_master[[#Headers],[Danyira]],1,0)</f>
        <v>0</v>
      </c>
      <c r="Q166" s="1">
        <f>IF(Regions_master[[#This Row],[Forecaster]]=Regions_master[[#Headers],[Sebastian]],1,0)</f>
        <v>0</v>
      </c>
      <c r="R166" s="1">
        <f>IF(Regions_master[[#This Row],[Forecaster]]=Regions_master[[#Headers],[Yasu]],1,0)</f>
        <v>0</v>
      </c>
      <c r="S166" s="1">
        <f>IF(Regions_master[[#This Row],[Forecaster]]=Regions_master[[#Headers],[Zhenqian]],1,0)</f>
        <v>0</v>
      </c>
      <c r="T166" s="1">
        <f>IF(Regions_master[[#This Row],[Forecaster]]=Regions_master[[#Headers],[Berna]],1,0)</f>
        <v>0</v>
      </c>
      <c r="U166" s="1">
        <f>IF(Regions_master[[#This Row],[Forecaster]]=Regions_master[[#Headers],[Julian]],1,0)</f>
        <v>0</v>
      </c>
      <c r="V166" s="1">
        <f>IF(Regions_master[[#This Row],[Forecaster]]=Regions_master[[#Headers],[Katarzyna]],1,0)</f>
        <v>0</v>
      </c>
      <c r="W166" s="1">
        <v>1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1</v>
      </c>
      <c r="BD166" s="1">
        <v>0</v>
      </c>
      <c r="BE166" s="1">
        <v>1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1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1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1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1</v>
      </c>
      <c r="CV166" s="1">
        <v>1</v>
      </c>
      <c r="CW166" s="1">
        <v>0</v>
      </c>
      <c r="CX166" s="1">
        <v>0</v>
      </c>
      <c r="CY166" s="1">
        <v>1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1</v>
      </c>
      <c r="DP166" s="1">
        <v>1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1</v>
      </c>
      <c r="EE166" s="1">
        <v>0</v>
      </c>
      <c r="EF166" s="1">
        <v>0</v>
      </c>
      <c r="EG166" s="1">
        <v>0</v>
      </c>
      <c r="EH166" s="3">
        <v>1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1</v>
      </c>
      <c r="ET166" s="1">
        <v>0</v>
      </c>
      <c r="EU166" s="1">
        <v>1</v>
      </c>
      <c r="EV166" s="1">
        <v>0</v>
      </c>
      <c r="EW166" s="1">
        <v>0</v>
      </c>
      <c r="EX166" s="1">
        <v>1</v>
      </c>
      <c r="EY166" s="1">
        <v>1</v>
      </c>
      <c r="EZ166" s="1">
        <v>1</v>
      </c>
      <c r="FA166" s="1">
        <v>1</v>
      </c>
      <c r="FB166" s="1">
        <v>0</v>
      </c>
      <c r="FC166" s="1">
        <v>1</v>
      </c>
      <c r="FD166" s="1">
        <v>1</v>
      </c>
      <c r="FE166" s="1">
        <v>1</v>
      </c>
      <c r="FF166" s="1">
        <v>1</v>
      </c>
      <c r="FG166" s="1">
        <v>1</v>
      </c>
      <c r="FH166" s="1">
        <v>1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1</v>
      </c>
      <c r="GE166" s="1">
        <v>0</v>
      </c>
      <c r="GF166" s="1">
        <v>0</v>
      </c>
      <c r="GG166" s="1">
        <v>1</v>
      </c>
      <c r="GH166" s="1">
        <v>1</v>
      </c>
      <c r="GI166" s="1">
        <v>0</v>
      </c>
      <c r="GJ166" s="1">
        <v>0</v>
      </c>
      <c r="GK166" s="1">
        <v>1</v>
      </c>
      <c r="GL166" s="1">
        <v>0</v>
      </c>
      <c r="GM166" s="1">
        <v>0</v>
      </c>
      <c r="GN166" s="1">
        <v>1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1</v>
      </c>
      <c r="GU166" s="1">
        <v>1</v>
      </c>
      <c r="GV166" s="1">
        <v>1</v>
      </c>
      <c r="GW166" s="1">
        <v>1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1</v>
      </c>
      <c r="HD166" s="1">
        <v>1</v>
      </c>
      <c r="HE166" s="1">
        <v>1</v>
      </c>
      <c r="HF166" s="1">
        <v>0</v>
      </c>
    </row>
    <row r="167" spans="1:214" x14ac:dyDescent="0.2">
      <c r="A167" s="1" t="s">
        <v>625</v>
      </c>
      <c r="B167" s="1" t="s">
        <v>625</v>
      </c>
      <c r="D167" s="1" t="s">
        <v>451</v>
      </c>
      <c r="E167" s="1" t="s">
        <v>215</v>
      </c>
      <c r="F167" s="1">
        <v>0</v>
      </c>
      <c r="G167" s="1" t="s">
        <v>227</v>
      </c>
      <c r="H167" s="1" t="s">
        <v>308</v>
      </c>
      <c r="I167" s="1" t="s">
        <v>309</v>
      </c>
      <c r="J167" s="1">
        <v>800</v>
      </c>
      <c r="K167" s="1" t="s">
        <v>24</v>
      </c>
      <c r="L167" s="1" t="s">
        <v>587</v>
      </c>
      <c r="M167" s="1" t="s">
        <v>19</v>
      </c>
      <c r="N167" s="1">
        <f>IF(Regions_master[[#This Row],[Forecaster]]=Regions_master[[#Headers],[Grigor]],1,0)</f>
        <v>0</v>
      </c>
      <c r="O167" s="1">
        <f>IF(Regions_master[[#This Row],[Forecaster]]=Regions_master[[#Headers],[Ingo]],1,0)</f>
        <v>0</v>
      </c>
      <c r="P167" s="1">
        <f>IF(Regions_master[[#This Row],[Forecaster]]=Regions_master[[#Headers],[Danyira]],1,0)</f>
        <v>0</v>
      </c>
      <c r="Q167" s="1">
        <f>IF(Regions_master[[#This Row],[Forecaster]]=Regions_master[[#Headers],[Sebastian]],1,0)</f>
        <v>0</v>
      </c>
      <c r="R167" s="1">
        <f>IF(Regions_master[[#This Row],[Forecaster]]=Regions_master[[#Headers],[Yasu]],1,0)</f>
        <v>0</v>
      </c>
      <c r="S167" s="1">
        <f>IF(Regions_master[[#This Row],[Forecaster]]=Regions_master[[#Headers],[Zhenqian]],1,0)</f>
        <v>0</v>
      </c>
      <c r="T167" s="1">
        <f>IF(Regions_master[[#This Row],[Forecaster]]=Regions_master[[#Headers],[Berna]],1,0)</f>
        <v>0</v>
      </c>
      <c r="U167" s="1">
        <f>IF(Regions_master[[#This Row],[Forecaster]]=Regions_master[[#Headers],[Julian]],1,0)</f>
        <v>1</v>
      </c>
      <c r="V167" s="1">
        <f>IF(Regions_master[[#This Row],[Forecaster]]=Regions_master[[#Headers],[Katarzyna]],1,0)</f>
        <v>0</v>
      </c>
      <c r="W167" s="1">
        <v>1</v>
      </c>
      <c r="X167" s="1">
        <v>0</v>
      </c>
      <c r="Y167" s="1">
        <v>0</v>
      </c>
      <c r="Z167" s="1">
        <v>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1</v>
      </c>
      <c r="BH167" s="1">
        <v>1</v>
      </c>
      <c r="BI167" s="1">
        <v>1</v>
      </c>
      <c r="BJ167" s="1">
        <v>1</v>
      </c>
      <c r="BK167" s="1">
        <v>0</v>
      </c>
      <c r="BL167" s="1">
        <v>0</v>
      </c>
      <c r="BM167" s="1">
        <v>1</v>
      </c>
      <c r="BN167" s="1">
        <v>0</v>
      </c>
      <c r="BO167" s="1">
        <v>0</v>
      </c>
      <c r="BP167" s="1">
        <v>0</v>
      </c>
      <c r="BQ167" s="1">
        <v>1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1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1</v>
      </c>
      <c r="CV167" s="1">
        <v>1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1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1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1</v>
      </c>
      <c r="DQ167" s="1">
        <v>1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1</v>
      </c>
      <c r="EA167" s="1">
        <v>0</v>
      </c>
      <c r="EB167" s="1">
        <v>0</v>
      </c>
      <c r="EC167" s="1">
        <v>1</v>
      </c>
      <c r="ED167" s="1">
        <v>0</v>
      </c>
      <c r="EE167" s="1">
        <v>1</v>
      </c>
      <c r="EF167" s="1">
        <v>0</v>
      </c>
      <c r="EG167" s="1">
        <v>1</v>
      </c>
      <c r="EH167" s="1">
        <v>0</v>
      </c>
      <c r="EI167" s="1">
        <v>0</v>
      </c>
      <c r="EJ167" s="1">
        <v>1</v>
      </c>
      <c r="EK167" s="1">
        <v>1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1</v>
      </c>
      <c r="ER167" s="1">
        <v>0</v>
      </c>
      <c r="ES167" s="1">
        <v>0</v>
      </c>
      <c r="ET167" s="1">
        <v>0</v>
      </c>
      <c r="EU167" s="1">
        <v>1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1</v>
      </c>
      <c r="FE167" s="1">
        <v>1</v>
      </c>
      <c r="FF167" s="1">
        <v>1</v>
      </c>
      <c r="FG167" s="1">
        <v>1</v>
      </c>
      <c r="FH167" s="1">
        <v>1</v>
      </c>
      <c r="FI167" s="1">
        <v>1</v>
      </c>
      <c r="FJ167" s="1">
        <v>1</v>
      </c>
      <c r="FK167" s="1">
        <v>1</v>
      </c>
      <c r="FL167" s="1">
        <v>1</v>
      </c>
      <c r="FM167" s="1">
        <v>0</v>
      </c>
      <c r="FN167" s="1">
        <v>0</v>
      </c>
      <c r="FO167" s="1">
        <v>0</v>
      </c>
      <c r="FP167" s="1">
        <v>1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1</v>
      </c>
      <c r="FY167" s="1">
        <v>0</v>
      </c>
      <c r="FZ167" s="1">
        <v>0</v>
      </c>
      <c r="GA167" s="1">
        <v>0</v>
      </c>
      <c r="GB167" s="1">
        <v>0</v>
      </c>
      <c r="GC167" s="1">
        <v>1</v>
      </c>
      <c r="GD167" s="1">
        <v>0</v>
      </c>
      <c r="GE167" s="1">
        <v>0</v>
      </c>
      <c r="GF167" s="1">
        <v>0</v>
      </c>
      <c r="GG167" s="1">
        <v>0</v>
      </c>
      <c r="GH167" s="1">
        <v>1</v>
      </c>
      <c r="GI167" s="1">
        <v>1</v>
      </c>
      <c r="GJ167" s="1">
        <v>0</v>
      </c>
      <c r="GK167" s="1">
        <v>0</v>
      </c>
      <c r="GL167" s="1">
        <v>0</v>
      </c>
      <c r="GM167" s="1">
        <v>1</v>
      </c>
      <c r="GN167" s="1">
        <v>1</v>
      </c>
      <c r="GO167" s="1">
        <v>1</v>
      </c>
      <c r="GP167" s="1">
        <v>0</v>
      </c>
      <c r="GQ167" s="1">
        <v>1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</row>
    <row r="168" spans="1:214" x14ac:dyDescent="0.2">
      <c r="A168" s="1" t="s">
        <v>626</v>
      </c>
      <c r="B168" s="1" t="s">
        <v>626</v>
      </c>
      <c r="D168" s="1" t="s">
        <v>627</v>
      </c>
      <c r="E168" s="1" t="s">
        <v>215</v>
      </c>
      <c r="F168" s="1">
        <v>0</v>
      </c>
      <c r="G168" s="1" t="s">
        <v>244</v>
      </c>
      <c r="H168" s="1" t="s">
        <v>223</v>
      </c>
      <c r="I168" s="1" t="s">
        <v>244</v>
      </c>
      <c r="J168" s="1">
        <v>804</v>
      </c>
      <c r="K168" s="1" t="s">
        <v>23</v>
      </c>
      <c r="L168" s="1" t="s">
        <v>245</v>
      </c>
      <c r="M168" s="1" t="s">
        <v>13</v>
      </c>
      <c r="N168" s="1">
        <f>IF(Regions_master[[#This Row],[Forecaster]]=Regions_master[[#Headers],[Grigor]],1,0)</f>
        <v>1</v>
      </c>
      <c r="O168" s="1">
        <f>IF(Regions_master[[#This Row],[Forecaster]]=Regions_master[[#Headers],[Ingo]],1,0)</f>
        <v>0</v>
      </c>
      <c r="P168" s="1">
        <f>IF(Regions_master[[#This Row],[Forecaster]]=Regions_master[[#Headers],[Danyira]],1,0)</f>
        <v>0</v>
      </c>
      <c r="Q168" s="1">
        <f>IF(Regions_master[[#This Row],[Forecaster]]=Regions_master[[#Headers],[Sebastian]],1,0)</f>
        <v>0</v>
      </c>
      <c r="R168" s="1">
        <f>IF(Regions_master[[#This Row],[Forecaster]]=Regions_master[[#Headers],[Yasu]],1,0)</f>
        <v>0</v>
      </c>
      <c r="S168" s="1">
        <f>IF(Regions_master[[#This Row],[Forecaster]]=Regions_master[[#Headers],[Zhenqian]],1,0)</f>
        <v>0</v>
      </c>
      <c r="T168" s="1">
        <f>IF(Regions_master[[#This Row],[Forecaster]]=Regions_master[[#Headers],[Berna]],1,0)</f>
        <v>0</v>
      </c>
      <c r="U168" s="1">
        <f>IF(Regions_master[[#This Row],[Forecaster]]=Regions_master[[#Headers],[Julian]],1,0)</f>
        <v>0</v>
      </c>
      <c r="V168" s="1">
        <f>IF(Regions_master[[#This Row],[Forecaster]]=Regions_master[[#Headers],[Katarzyna]],1,0)</f>
        <v>0</v>
      </c>
      <c r="W168" s="1">
        <v>1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1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1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1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1</v>
      </c>
      <c r="CW168" s="1">
        <v>0</v>
      </c>
      <c r="CX168" s="1">
        <v>0</v>
      </c>
      <c r="CY168" s="1">
        <v>0</v>
      </c>
      <c r="CZ168" s="1">
        <v>1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1</v>
      </c>
      <c r="DP168" s="1">
        <v>1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1</v>
      </c>
      <c r="EE168" s="1">
        <v>0</v>
      </c>
      <c r="EF168" s="1">
        <v>1</v>
      </c>
      <c r="EG168" s="1">
        <v>1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1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1</v>
      </c>
      <c r="FF168" s="1">
        <v>1</v>
      </c>
      <c r="FG168" s="1">
        <v>1</v>
      </c>
      <c r="FH168" s="1">
        <v>1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1</v>
      </c>
      <c r="GH168" s="1">
        <v>1</v>
      </c>
      <c r="GI168" s="1">
        <v>1</v>
      </c>
      <c r="GJ168" s="1">
        <v>1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1</v>
      </c>
      <c r="GU168" s="1">
        <v>1</v>
      </c>
      <c r="GV168" s="1">
        <v>1</v>
      </c>
      <c r="GW168" s="1">
        <v>1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1</v>
      </c>
      <c r="HD168" s="1">
        <v>1</v>
      </c>
      <c r="HE168" s="1">
        <v>1</v>
      </c>
      <c r="HF168" s="1">
        <v>0</v>
      </c>
    </row>
    <row r="169" spans="1:214" x14ac:dyDescent="0.2">
      <c r="A169" s="1" t="s">
        <v>628</v>
      </c>
      <c r="B169" s="1" t="s">
        <v>629</v>
      </c>
      <c r="D169" s="1" t="s">
        <v>374</v>
      </c>
      <c r="E169" s="1" t="s">
        <v>215</v>
      </c>
      <c r="F169" s="1">
        <v>0</v>
      </c>
      <c r="G169" s="1" t="s">
        <v>216</v>
      </c>
      <c r="H169" s="1" t="s">
        <v>264</v>
      </c>
      <c r="I169" s="1" t="s">
        <v>265</v>
      </c>
      <c r="J169" s="1">
        <v>784</v>
      </c>
      <c r="K169" s="1" t="s">
        <v>24</v>
      </c>
      <c r="L169" s="1" t="s">
        <v>219</v>
      </c>
      <c r="M169" s="1" t="s">
        <v>18</v>
      </c>
      <c r="N169" s="1">
        <f>IF(Regions_master[[#This Row],[Forecaster]]=Regions_master[[#Headers],[Grigor]],1,0)</f>
        <v>0</v>
      </c>
      <c r="O169" s="1">
        <f>IF(Regions_master[[#This Row],[Forecaster]]=Regions_master[[#Headers],[Ingo]],1,0)</f>
        <v>0</v>
      </c>
      <c r="P169" s="1">
        <f>IF(Regions_master[[#This Row],[Forecaster]]=Regions_master[[#Headers],[Danyira]],1,0)</f>
        <v>0</v>
      </c>
      <c r="Q169" s="1">
        <f>IF(Regions_master[[#This Row],[Forecaster]]=Regions_master[[#Headers],[Sebastian]],1,0)</f>
        <v>0</v>
      </c>
      <c r="R169" s="1">
        <f>IF(Regions_master[[#This Row],[Forecaster]]=Regions_master[[#Headers],[Yasu]],1,0)</f>
        <v>0</v>
      </c>
      <c r="S169" s="1">
        <f>IF(Regions_master[[#This Row],[Forecaster]]=Regions_master[[#Headers],[Zhenqian]],1,0)</f>
        <v>0</v>
      </c>
      <c r="T169" s="1">
        <f>IF(Regions_master[[#This Row],[Forecaster]]=Regions_master[[#Headers],[Berna]],1,0)</f>
        <v>1</v>
      </c>
      <c r="U169" s="1">
        <f>IF(Regions_master[[#This Row],[Forecaster]]=Regions_master[[#Headers],[Julian]],1,0)</f>
        <v>0</v>
      </c>
      <c r="V169" s="1">
        <f>IF(Regions_master[[#This Row],[Forecaster]]=Regions_master[[#Headers],[Katarzyna]],1,0)</f>
        <v>0</v>
      </c>
      <c r="W169" s="1">
        <v>1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1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1</v>
      </c>
      <c r="BO169" s="1">
        <v>0</v>
      </c>
      <c r="BP169" s="1">
        <v>1</v>
      </c>
      <c r="BQ169" s="1">
        <v>0</v>
      </c>
      <c r="BR169" s="1">
        <v>0</v>
      </c>
      <c r="BS169" s="1">
        <v>1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1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1</v>
      </c>
      <c r="CV169" s="1">
        <v>1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1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1</v>
      </c>
      <c r="DO169" s="1">
        <v>0</v>
      </c>
      <c r="DP169" s="1">
        <v>1</v>
      </c>
      <c r="DQ169" s="1">
        <v>1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1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1</v>
      </c>
      <c r="ED169" s="1">
        <v>0</v>
      </c>
      <c r="EE169" s="1">
        <v>0</v>
      </c>
      <c r="EF169" s="1">
        <v>0</v>
      </c>
      <c r="EG169" s="1">
        <v>0</v>
      </c>
      <c r="EH169" s="1">
        <v>1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1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1</v>
      </c>
      <c r="EY169" s="1">
        <v>0</v>
      </c>
      <c r="EZ169" s="1">
        <v>0</v>
      </c>
      <c r="FA169" s="1">
        <v>1</v>
      </c>
      <c r="FB169" s="1">
        <v>0</v>
      </c>
      <c r="FC169" s="1">
        <v>0</v>
      </c>
      <c r="FD169" s="1">
        <v>1</v>
      </c>
      <c r="FE169" s="1">
        <v>1</v>
      </c>
      <c r="FF169" s="1">
        <v>1</v>
      </c>
      <c r="FG169" s="1">
        <v>1</v>
      </c>
      <c r="FH169" s="1">
        <v>1</v>
      </c>
      <c r="FI169" s="1">
        <v>1</v>
      </c>
      <c r="FJ169" s="1">
        <v>1</v>
      </c>
      <c r="FK169" s="1">
        <v>1</v>
      </c>
      <c r="FL169" s="1">
        <v>1</v>
      </c>
      <c r="FM169" s="1">
        <v>0</v>
      </c>
      <c r="FN169" s="1">
        <v>0</v>
      </c>
      <c r="FO169" s="1">
        <v>0</v>
      </c>
      <c r="FP169" s="1">
        <v>0</v>
      </c>
      <c r="FQ169" s="1">
        <v>1</v>
      </c>
      <c r="FR169" s="1">
        <v>0</v>
      </c>
      <c r="FS169" s="1">
        <v>0</v>
      </c>
      <c r="FT169" s="1">
        <v>0</v>
      </c>
      <c r="FU169" s="1">
        <v>1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1</v>
      </c>
      <c r="GE169" s="1">
        <v>0</v>
      </c>
      <c r="GF169" s="1">
        <v>1</v>
      </c>
      <c r="GG169" s="1">
        <v>0</v>
      </c>
      <c r="GH169" s="1">
        <v>1</v>
      </c>
      <c r="GI169" s="1">
        <v>0</v>
      </c>
      <c r="GJ169" s="1">
        <v>0</v>
      </c>
      <c r="GK169" s="1">
        <v>1</v>
      </c>
      <c r="GL169" s="1">
        <v>0</v>
      </c>
      <c r="GM169" s="1">
        <v>0</v>
      </c>
      <c r="GN169" s="1">
        <v>1</v>
      </c>
      <c r="GO169" s="1">
        <v>0</v>
      </c>
      <c r="GP169" s="1">
        <v>1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</row>
    <row r="170" spans="1:214" x14ac:dyDescent="0.2">
      <c r="A170" s="1" t="s">
        <v>630</v>
      </c>
      <c r="B170" s="1" t="s">
        <v>631</v>
      </c>
      <c r="D170" s="1" t="s">
        <v>526</v>
      </c>
      <c r="E170" s="1" t="s">
        <v>215</v>
      </c>
      <c r="F170" s="1">
        <v>0</v>
      </c>
      <c r="G170" s="1" t="s">
        <v>251</v>
      </c>
      <c r="H170" s="1" t="s">
        <v>427</v>
      </c>
      <c r="I170" s="1" t="s">
        <v>428</v>
      </c>
      <c r="J170" s="1">
        <v>826</v>
      </c>
      <c r="K170" s="1" t="s">
        <v>22</v>
      </c>
      <c r="L170" s="1" t="s">
        <v>261</v>
      </c>
      <c r="M170" s="1" t="s">
        <v>14</v>
      </c>
      <c r="N170" s="1">
        <f>IF(Regions_master[[#This Row],[Forecaster]]=Regions_master[[#Headers],[Grigor]],1,0)</f>
        <v>0</v>
      </c>
      <c r="O170" s="1">
        <f>IF(Regions_master[[#This Row],[Forecaster]]=Regions_master[[#Headers],[Ingo]],1,0)</f>
        <v>1</v>
      </c>
      <c r="P170" s="1">
        <f>IF(Regions_master[[#This Row],[Forecaster]]=Regions_master[[#Headers],[Danyira]],1,0)</f>
        <v>0</v>
      </c>
      <c r="Q170" s="1">
        <f>IF(Regions_master[[#This Row],[Forecaster]]=Regions_master[[#Headers],[Sebastian]],1,0)</f>
        <v>0</v>
      </c>
      <c r="R170" s="1">
        <f>IF(Regions_master[[#This Row],[Forecaster]]=Regions_master[[#Headers],[Yasu]],1,0)</f>
        <v>0</v>
      </c>
      <c r="S170" s="1">
        <f>IF(Regions_master[[#This Row],[Forecaster]]=Regions_master[[#Headers],[Zhenqian]],1,0)</f>
        <v>0</v>
      </c>
      <c r="T170" s="1">
        <f>IF(Regions_master[[#This Row],[Forecaster]]=Regions_master[[#Headers],[Berna]],1,0)</f>
        <v>0</v>
      </c>
      <c r="U170" s="1">
        <f>IF(Regions_master[[#This Row],[Forecaster]]=Regions_master[[#Headers],[Julian]],1,0)</f>
        <v>0</v>
      </c>
      <c r="V170" s="1">
        <f>IF(Regions_master[[#This Row],[Forecaster]]=Regions_master[[#Headers],[Katarzyna]],1,0)</f>
        <v>0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1</v>
      </c>
      <c r="AE170" s="1">
        <v>0</v>
      </c>
      <c r="AF170" s="1">
        <v>0</v>
      </c>
      <c r="AG170" s="1">
        <v>0</v>
      </c>
      <c r="AH170" s="1">
        <v>1</v>
      </c>
      <c r="AI170" s="1">
        <v>1</v>
      </c>
      <c r="AJ170" s="1">
        <v>0</v>
      </c>
      <c r="AK170" s="1">
        <v>1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1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1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1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1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1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1</v>
      </c>
      <c r="ED170" s="1">
        <v>0</v>
      </c>
      <c r="EE170" s="1">
        <v>0</v>
      </c>
      <c r="EF170" s="1">
        <v>1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1</v>
      </c>
      <c r="FC170" s="1">
        <v>0</v>
      </c>
      <c r="FD170" s="1">
        <v>1</v>
      </c>
      <c r="FE170" s="1">
        <v>1</v>
      </c>
      <c r="FF170" s="1">
        <v>1</v>
      </c>
      <c r="FG170" s="1">
        <v>1</v>
      </c>
      <c r="FH170" s="1">
        <v>1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1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</row>
    <row r="171" spans="1:214" x14ac:dyDescent="0.2">
      <c r="A171" s="1" t="s">
        <v>632</v>
      </c>
      <c r="B171" s="1" t="s">
        <v>633</v>
      </c>
      <c r="D171" s="1" t="s">
        <v>634</v>
      </c>
      <c r="E171" s="1" t="s">
        <v>215</v>
      </c>
      <c r="F171" s="1">
        <v>0</v>
      </c>
      <c r="G171" s="1" t="s">
        <v>227</v>
      </c>
      <c r="H171" s="1" t="s">
        <v>308</v>
      </c>
      <c r="I171" s="1" t="s">
        <v>309</v>
      </c>
      <c r="J171" s="1">
        <v>834</v>
      </c>
      <c r="K171" s="1" t="s">
        <v>24</v>
      </c>
      <c r="L171" s="1" t="s">
        <v>219</v>
      </c>
      <c r="M171" s="1" t="s">
        <v>20</v>
      </c>
      <c r="N171" s="1">
        <f>IF(Regions_master[[#This Row],[Forecaster]]=Regions_master[[#Headers],[Grigor]],1,0)</f>
        <v>0</v>
      </c>
      <c r="O171" s="1">
        <f>IF(Regions_master[[#This Row],[Forecaster]]=Regions_master[[#Headers],[Ingo]],1,0)</f>
        <v>0</v>
      </c>
      <c r="P171" s="1">
        <f>IF(Regions_master[[#This Row],[Forecaster]]=Regions_master[[#Headers],[Danyira]],1,0)</f>
        <v>0</v>
      </c>
      <c r="Q171" s="1">
        <f>IF(Regions_master[[#This Row],[Forecaster]]=Regions_master[[#Headers],[Sebastian]],1,0)</f>
        <v>0</v>
      </c>
      <c r="R171" s="1">
        <f>IF(Regions_master[[#This Row],[Forecaster]]=Regions_master[[#Headers],[Yasu]],1,0)</f>
        <v>0</v>
      </c>
      <c r="S171" s="1">
        <f>IF(Regions_master[[#This Row],[Forecaster]]=Regions_master[[#Headers],[Zhenqian]],1,0)</f>
        <v>0</v>
      </c>
      <c r="T171" s="1">
        <f>IF(Regions_master[[#This Row],[Forecaster]]=Regions_master[[#Headers],[Berna]],1,0)</f>
        <v>0</v>
      </c>
      <c r="U171" s="1">
        <f>IF(Regions_master[[#This Row],[Forecaster]]=Regions_master[[#Headers],[Julian]],1,0)</f>
        <v>0</v>
      </c>
      <c r="V171" s="1">
        <f>IF(Regions_master[[#This Row],[Forecaster]]=Regions_master[[#Headers],[Katarzyna]],1,0)</f>
        <v>1</v>
      </c>
      <c r="W171" s="1">
        <v>1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</v>
      </c>
      <c r="AO171" s="1">
        <v>0</v>
      </c>
      <c r="AP171" s="1">
        <v>0</v>
      </c>
      <c r="AQ171" s="1">
        <v>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</v>
      </c>
      <c r="BG171" s="1">
        <v>0</v>
      </c>
      <c r="BH171" s="1">
        <v>1</v>
      </c>
      <c r="BI171" s="1">
        <v>1</v>
      </c>
      <c r="BJ171" s="1">
        <v>1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1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1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1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1</v>
      </c>
      <c r="CV171" s="1">
        <v>1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1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1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1</v>
      </c>
      <c r="DQ171" s="1">
        <v>1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1</v>
      </c>
      <c r="DY171" s="1">
        <v>0</v>
      </c>
      <c r="DZ171" s="1">
        <v>1</v>
      </c>
      <c r="EA171" s="1">
        <v>0</v>
      </c>
      <c r="EB171" s="1">
        <v>0</v>
      </c>
      <c r="EC171" s="1">
        <v>1</v>
      </c>
      <c r="ED171" s="1">
        <v>0</v>
      </c>
      <c r="EE171" s="1">
        <v>1</v>
      </c>
      <c r="EF171" s="1">
        <v>0</v>
      </c>
      <c r="EG171" s="1">
        <v>0</v>
      </c>
      <c r="EH171" s="1">
        <v>0</v>
      </c>
      <c r="EI171" s="1">
        <v>0</v>
      </c>
      <c r="EJ171" s="1">
        <v>1</v>
      </c>
      <c r="EK171" s="1">
        <v>1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1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1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1</v>
      </c>
      <c r="FE171" s="1">
        <v>1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1</v>
      </c>
      <c r="FM171" s="1">
        <v>0</v>
      </c>
      <c r="FN171" s="1">
        <v>0</v>
      </c>
      <c r="FO171" s="1">
        <v>0</v>
      </c>
      <c r="FP171" s="1">
        <v>1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1</v>
      </c>
      <c r="FY171" s="1">
        <v>0</v>
      </c>
      <c r="FZ171" s="1">
        <v>0</v>
      </c>
      <c r="GA171" s="1">
        <v>0</v>
      </c>
      <c r="GB171" s="1">
        <v>0</v>
      </c>
      <c r="GC171" s="1">
        <v>1</v>
      </c>
      <c r="GD171" s="1">
        <v>0</v>
      </c>
      <c r="GE171" s="1">
        <v>0</v>
      </c>
      <c r="GF171" s="1">
        <v>0</v>
      </c>
      <c r="GG171" s="1">
        <v>0</v>
      </c>
      <c r="GH171" s="1">
        <v>1</v>
      </c>
      <c r="GI171" s="1">
        <v>0</v>
      </c>
      <c r="GJ171" s="1">
        <v>0</v>
      </c>
      <c r="GK171" s="1">
        <v>0</v>
      </c>
      <c r="GL171" s="1">
        <v>1</v>
      </c>
      <c r="GM171" s="1">
        <v>0</v>
      </c>
      <c r="GN171" s="1">
        <v>1</v>
      </c>
      <c r="GO171" s="1">
        <v>1</v>
      </c>
      <c r="GP171" s="1">
        <v>0</v>
      </c>
      <c r="GQ171" s="1">
        <v>1</v>
      </c>
      <c r="GR171" s="1">
        <v>0</v>
      </c>
      <c r="GS171" s="1">
        <v>1</v>
      </c>
      <c r="GT171" s="1">
        <v>1</v>
      </c>
      <c r="GU171" s="1">
        <v>1</v>
      </c>
      <c r="GV171" s="1">
        <v>1</v>
      </c>
      <c r="GW171" s="1">
        <v>1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1</v>
      </c>
      <c r="HD171" s="1">
        <v>1</v>
      </c>
      <c r="HE171" s="1">
        <v>0</v>
      </c>
      <c r="HF171" s="1">
        <v>0</v>
      </c>
    </row>
    <row r="172" spans="1:214" x14ac:dyDescent="0.2">
      <c r="A172" s="1" t="s">
        <v>635</v>
      </c>
      <c r="B172" s="1" t="s">
        <v>261</v>
      </c>
      <c r="D172" s="1" t="s">
        <v>261</v>
      </c>
      <c r="E172" s="1" t="s">
        <v>215</v>
      </c>
      <c r="F172" s="1">
        <v>0</v>
      </c>
      <c r="G172" s="1" t="s">
        <v>322</v>
      </c>
      <c r="H172" s="1" t="s">
        <v>223</v>
      </c>
      <c r="I172" s="1" t="s">
        <v>322</v>
      </c>
      <c r="J172" s="1">
        <v>840</v>
      </c>
      <c r="K172" s="1" t="s">
        <v>22</v>
      </c>
      <c r="L172" s="1" t="s">
        <v>321</v>
      </c>
      <c r="M172" s="1" t="s">
        <v>17</v>
      </c>
      <c r="N172" s="1">
        <f>IF(Regions_master[[#This Row],[Forecaster]]=Regions_master[[#Headers],[Grigor]],1,0)</f>
        <v>0</v>
      </c>
      <c r="O172" s="1">
        <f>IF(Regions_master[[#This Row],[Forecaster]]=Regions_master[[#Headers],[Ingo]],1,0)</f>
        <v>0</v>
      </c>
      <c r="P172" s="1">
        <f>IF(Regions_master[[#This Row],[Forecaster]]=Regions_master[[#Headers],[Danyira]],1,0)</f>
        <v>0</v>
      </c>
      <c r="Q172" s="1">
        <f>IF(Regions_master[[#This Row],[Forecaster]]=Regions_master[[#Headers],[Sebastian]],1,0)</f>
        <v>0</v>
      </c>
      <c r="R172" s="1">
        <f>IF(Regions_master[[#This Row],[Forecaster]]=Regions_master[[#Headers],[Yasu]],1,0)</f>
        <v>1</v>
      </c>
      <c r="S172" s="1">
        <f>IF(Regions_master[[#This Row],[Forecaster]]=Regions_master[[#Headers],[Zhenqian]],1,0)</f>
        <v>0</v>
      </c>
      <c r="T172" s="1">
        <f>IF(Regions_master[[#This Row],[Forecaster]]=Regions_master[[#Headers],[Berna]],1,0)</f>
        <v>0</v>
      </c>
      <c r="U172" s="1">
        <f>IF(Regions_master[[#This Row],[Forecaster]]=Regions_master[[#Headers],[Julian]],1,0)</f>
        <v>0</v>
      </c>
      <c r="V172" s="1">
        <f>IF(Regions_master[[#This Row],[Forecaster]]=Regions_master[[#Headers],[Katarzyna]],1,0)</f>
        <v>0</v>
      </c>
      <c r="W172" s="1">
        <v>1</v>
      </c>
      <c r="X172" s="1">
        <v>1</v>
      </c>
      <c r="Y172" s="1">
        <v>0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</v>
      </c>
      <c r="AJ172" s="1">
        <v>0</v>
      </c>
      <c r="AK172" s="1">
        <v>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1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1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1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1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1</v>
      </c>
      <c r="ED172" s="1">
        <v>0</v>
      </c>
      <c r="EE172" s="1">
        <v>0</v>
      </c>
      <c r="EF172" s="1">
        <v>1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1</v>
      </c>
      <c r="FC172" s="1">
        <v>0</v>
      </c>
      <c r="FD172" s="1">
        <v>1</v>
      </c>
      <c r="FE172" s="1">
        <v>1</v>
      </c>
      <c r="FF172" s="1">
        <v>1</v>
      </c>
      <c r="FG172" s="1">
        <v>1</v>
      </c>
      <c r="FH172" s="1">
        <v>1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1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</row>
    <row r="173" spans="1:214" x14ac:dyDescent="0.2">
      <c r="A173" s="1" t="s">
        <v>636</v>
      </c>
      <c r="B173" s="1" t="s">
        <v>636</v>
      </c>
      <c r="D173" s="1" t="s">
        <v>637</v>
      </c>
      <c r="E173" s="1" t="s">
        <v>215</v>
      </c>
      <c r="F173" s="1">
        <v>0</v>
      </c>
      <c r="G173" s="1" t="s">
        <v>238</v>
      </c>
      <c r="H173" s="1" t="s">
        <v>239</v>
      </c>
      <c r="I173" s="1" t="s">
        <v>240</v>
      </c>
      <c r="J173" s="1">
        <v>858</v>
      </c>
      <c r="K173" s="1" t="s">
        <v>24</v>
      </c>
      <c r="L173" s="1" t="s">
        <v>235</v>
      </c>
      <c r="M173" s="1" t="s">
        <v>16</v>
      </c>
      <c r="N173" s="1">
        <f>IF(Regions_master[[#This Row],[Forecaster]]=Regions_master[[#Headers],[Grigor]],1,0)</f>
        <v>0</v>
      </c>
      <c r="O173" s="1">
        <f>IF(Regions_master[[#This Row],[Forecaster]]=Regions_master[[#Headers],[Ingo]],1,0)</f>
        <v>0</v>
      </c>
      <c r="P173" s="1">
        <f>IF(Regions_master[[#This Row],[Forecaster]]=Regions_master[[#Headers],[Danyira]],1,0)</f>
        <v>0</v>
      </c>
      <c r="Q173" s="1">
        <f>IF(Regions_master[[#This Row],[Forecaster]]=Regions_master[[#Headers],[Sebastian]],1,0)</f>
        <v>1</v>
      </c>
      <c r="R173" s="1">
        <f>IF(Regions_master[[#This Row],[Forecaster]]=Regions_master[[#Headers],[Yasu]],1,0)</f>
        <v>0</v>
      </c>
      <c r="S173" s="1">
        <f>IF(Regions_master[[#This Row],[Forecaster]]=Regions_master[[#Headers],[Zhenqian]],1,0)</f>
        <v>0</v>
      </c>
      <c r="T173" s="1">
        <f>IF(Regions_master[[#This Row],[Forecaster]]=Regions_master[[#Headers],[Berna]],1,0)</f>
        <v>0</v>
      </c>
      <c r="U173" s="1">
        <f>IF(Regions_master[[#This Row],[Forecaster]]=Regions_master[[#Headers],[Julian]],1,0)</f>
        <v>0</v>
      </c>
      <c r="V173" s="1">
        <f>IF(Regions_master[[#This Row],[Forecaster]]=Regions_master[[#Headers],[Katarzyna]],1,0)</f>
        <v>0</v>
      </c>
      <c r="W173" s="1">
        <v>1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1</v>
      </c>
      <c r="AZ173" s="1">
        <v>0</v>
      </c>
      <c r="BA173" s="1">
        <v>0</v>
      </c>
      <c r="BB173" s="1">
        <v>1</v>
      </c>
      <c r="BC173" s="1">
        <v>0</v>
      </c>
      <c r="BD173" s="1">
        <v>1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1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1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1</v>
      </c>
      <c r="CT173" s="1">
        <v>0</v>
      </c>
      <c r="CU173" s="1">
        <v>1</v>
      </c>
      <c r="CV173" s="1">
        <v>1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1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1</v>
      </c>
      <c r="DQ173" s="1">
        <v>1</v>
      </c>
      <c r="DR173" s="1">
        <v>1</v>
      </c>
      <c r="DS173" s="1">
        <v>1</v>
      </c>
      <c r="DT173" s="1">
        <v>0</v>
      </c>
      <c r="DU173" s="1">
        <v>0</v>
      </c>
      <c r="DV173" s="1">
        <v>1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1</v>
      </c>
      <c r="ED173" s="1">
        <v>0</v>
      </c>
      <c r="EE173" s="1">
        <v>0</v>
      </c>
      <c r="EF173" s="1">
        <v>0</v>
      </c>
      <c r="EG173" s="1">
        <v>1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1</v>
      </c>
      <c r="EP173" s="1">
        <v>0</v>
      </c>
      <c r="EQ173" s="1">
        <v>0</v>
      </c>
      <c r="ER173" s="1">
        <v>1</v>
      </c>
      <c r="ES173" s="1">
        <v>0</v>
      </c>
      <c r="ET173" s="1">
        <v>0</v>
      </c>
      <c r="EU173" s="1">
        <v>0</v>
      </c>
      <c r="EV173" s="1">
        <v>0</v>
      </c>
      <c r="EW173" s="1">
        <v>1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1</v>
      </c>
      <c r="FE173" s="1">
        <v>1</v>
      </c>
      <c r="FF173" s="1">
        <v>1</v>
      </c>
      <c r="FG173" s="1">
        <v>1</v>
      </c>
      <c r="FH173" s="1">
        <v>1</v>
      </c>
      <c r="FI173" s="1">
        <v>1</v>
      </c>
      <c r="FJ173" s="1">
        <v>1</v>
      </c>
      <c r="FK173" s="1">
        <v>1</v>
      </c>
      <c r="FL173" s="1">
        <v>1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1</v>
      </c>
      <c r="FW173" s="1">
        <v>1</v>
      </c>
      <c r="FX173" s="1">
        <v>0</v>
      </c>
      <c r="FY173" s="1">
        <v>0</v>
      </c>
      <c r="FZ173" s="1">
        <v>0</v>
      </c>
      <c r="GA173" s="1">
        <v>1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1</v>
      </c>
      <c r="GI173" s="1">
        <v>1</v>
      </c>
      <c r="GJ173" s="1">
        <v>0</v>
      </c>
      <c r="GK173" s="1">
        <v>0</v>
      </c>
      <c r="GL173" s="1">
        <v>0</v>
      </c>
      <c r="GM173" s="1">
        <v>0</v>
      </c>
      <c r="GN173" s="1">
        <v>1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</row>
    <row r="174" spans="1:214" x14ac:dyDescent="0.2">
      <c r="A174" s="1" t="s">
        <v>638</v>
      </c>
      <c r="B174" s="1" t="s">
        <v>638</v>
      </c>
      <c r="D174" s="1" t="s">
        <v>639</v>
      </c>
      <c r="E174" s="1" t="s">
        <v>215</v>
      </c>
      <c r="F174" s="1">
        <v>0</v>
      </c>
      <c r="G174" s="1" t="s">
        <v>244</v>
      </c>
      <c r="H174" s="1" t="s">
        <v>223</v>
      </c>
      <c r="I174" s="1" t="s">
        <v>244</v>
      </c>
      <c r="J174" s="1">
        <v>860</v>
      </c>
      <c r="K174" s="1" t="s">
        <v>23</v>
      </c>
      <c r="L174" s="1" t="s">
        <v>305</v>
      </c>
      <c r="M174" s="1" t="s">
        <v>13</v>
      </c>
      <c r="N174" s="1">
        <f>IF(Regions_master[[#This Row],[Forecaster]]=Regions_master[[#Headers],[Grigor]],1,0)</f>
        <v>1</v>
      </c>
      <c r="O174" s="1">
        <f>IF(Regions_master[[#This Row],[Forecaster]]=Regions_master[[#Headers],[Ingo]],1,0)</f>
        <v>0</v>
      </c>
      <c r="P174" s="1">
        <f>IF(Regions_master[[#This Row],[Forecaster]]=Regions_master[[#Headers],[Danyira]],1,0)</f>
        <v>0</v>
      </c>
      <c r="Q174" s="1">
        <f>IF(Regions_master[[#This Row],[Forecaster]]=Regions_master[[#Headers],[Sebastian]],1,0)</f>
        <v>0</v>
      </c>
      <c r="R174" s="1">
        <f>IF(Regions_master[[#This Row],[Forecaster]]=Regions_master[[#Headers],[Yasu]],1,0)</f>
        <v>0</v>
      </c>
      <c r="S174" s="1">
        <f>IF(Regions_master[[#This Row],[Forecaster]]=Regions_master[[#Headers],[Zhenqian]],1,0)</f>
        <v>0</v>
      </c>
      <c r="T174" s="1">
        <f>IF(Regions_master[[#This Row],[Forecaster]]=Regions_master[[#Headers],[Berna]],1,0)</f>
        <v>0</v>
      </c>
      <c r="U174" s="1">
        <f>IF(Regions_master[[#This Row],[Forecaster]]=Regions_master[[#Headers],[Julian]],1,0)</f>
        <v>0</v>
      </c>
      <c r="V174" s="1">
        <f>IF(Regions_master[[#This Row],[Forecaster]]=Regions_master[[#Headers],[Katarzyna]],1,0)</f>
        <v>0</v>
      </c>
      <c r="W174" s="1">
        <v>1</v>
      </c>
      <c r="X174" s="1">
        <v>0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1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1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1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1</v>
      </c>
      <c r="CW174" s="1">
        <v>0</v>
      </c>
      <c r="CX174" s="1">
        <v>0</v>
      </c>
      <c r="CY174" s="1">
        <v>0</v>
      </c>
      <c r="CZ174" s="1">
        <v>1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1</v>
      </c>
      <c r="DP174" s="1">
        <v>1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1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1</v>
      </c>
      <c r="EV174" s="1">
        <v>0</v>
      </c>
      <c r="EW174" s="1">
        <v>0</v>
      </c>
      <c r="EX174" s="1">
        <v>1</v>
      </c>
      <c r="EY174" s="1">
        <v>1</v>
      </c>
      <c r="EZ174" s="1">
        <v>1</v>
      </c>
      <c r="FA174" s="1">
        <v>1</v>
      </c>
      <c r="FB174" s="1">
        <v>0</v>
      </c>
      <c r="FC174" s="1">
        <v>1</v>
      </c>
      <c r="FD174" s="1">
        <v>1</v>
      </c>
      <c r="FE174" s="1">
        <v>1</v>
      </c>
      <c r="FF174" s="1">
        <v>1</v>
      </c>
      <c r="FG174" s="1">
        <v>1</v>
      </c>
      <c r="FH174" s="1">
        <v>1</v>
      </c>
      <c r="FI174" s="1">
        <v>0</v>
      </c>
      <c r="FJ174" s="1">
        <v>0</v>
      </c>
      <c r="FK174" s="1">
        <v>0</v>
      </c>
      <c r="FL174" s="1">
        <v>0</v>
      </c>
      <c r="FM174" s="1">
        <v>1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1</v>
      </c>
      <c r="GE174" s="1">
        <v>0</v>
      </c>
      <c r="GF174" s="1">
        <v>0</v>
      </c>
      <c r="GG174" s="1">
        <v>1</v>
      </c>
      <c r="GH174" s="1">
        <v>1</v>
      </c>
      <c r="GI174" s="1">
        <v>0</v>
      </c>
      <c r="GJ174" s="1">
        <v>0</v>
      </c>
      <c r="GK174" s="1">
        <v>0</v>
      </c>
      <c r="GL174" s="1">
        <v>1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1</v>
      </c>
      <c r="GT174" s="1">
        <v>1</v>
      </c>
      <c r="GU174" s="1">
        <v>1</v>
      </c>
      <c r="GV174" s="1">
        <v>1</v>
      </c>
      <c r="GW174" s="1">
        <v>1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1</v>
      </c>
      <c r="HD174" s="1">
        <v>1</v>
      </c>
      <c r="HE174" s="1">
        <v>0</v>
      </c>
      <c r="HF174" s="1">
        <v>1</v>
      </c>
    </row>
    <row r="175" spans="1:214" x14ac:dyDescent="0.2">
      <c r="A175" s="1" t="s">
        <v>640</v>
      </c>
      <c r="B175" s="1" t="s">
        <v>640</v>
      </c>
      <c r="D175" s="1" t="s">
        <v>641</v>
      </c>
      <c r="E175" s="1" t="s">
        <v>215</v>
      </c>
      <c r="F175" s="1">
        <v>0</v>
      </c>
      <c r="G175" s="1" t="s">
        <v>216</v>
      </c>
      <c r="H175" s="1" t="s">
        <v>296</v>
      </c>
      <c r="I175" s="1" t="s">
        <v>297</v>
      </c>
      <c r="J175" s="1">
        <v>548</v>
      </c>
      <c r="K175" s="1" t="s">
        <v>24</v>
      </c>
      <c r="L175" s="1" t="s">
        <v>304</v>
      </c>
      <c r="M175" s="1" t="s">
        <v>15</v>
      </c>
      <c r="N175" s="1">
        <f>IF(Regions_master[[#This Row],[Forecaster]]=Regions_master[[#Headers],[Grigor]],1,0)</f>
        <v>0</v>
      </c>
      <c r="O175" s="1">
        <f>IF(Regions_master[[#This Row],[Forecaster]]=Regions_master[[#Headers],[Ingo]],1,0)</f>
        <v>0</v>
      </c>
      <c r="P175" s="1">
        <f>IF(Regions_master[[#This Row],[Forecaster]]=Regions_master[[#Headers],[Danyira]],1,0)</f>
        <v>1</v>
      </c>
      <c r="Q175" s="1">
        <f>IF(Regions_master[[#This Row],[Forecaster]]=Regions_master[[#Headers],[Sebastian]],1,0)</f>
        <v>0</v>
      </c>
      <c r="R175" s="1">
        <f>IF(Regions_master[[#This Row],[Forecaster]]=Regions_master[[#Headers],[Yasu]],1,0)</f>
        <v>0</v>
      </c>
      <c r="S175" s="1">
        <f>IF(Regions_master[[#This Row],[Forecaster]]=Regions_master[[#Headers],[Zhenqian]],1,0)</f>
        <v>0</v>
      </c>
      <c r="T175" s="1">
        <f>IF(Regions_master[[#This Row],[Forecaster]]=Regions_master[[#Headers],[Berna]],1,0)</f>
        <v>0</v>
      </c>
      <c r="U175" s="1">
        <f>IF(Regions_master[[#This Row],[Forecaster]]=Regions_master[[#Headers],[Julian]],1,0)</f>
        <v>0</v>
      </c>
      <c r="V175" s="1">
        <f>IF(Regions_master[[#This Row],[Forecaster]]=Regions_master[[#Headers],[Katarzyna]],1,0)</f>
        <v>0</v>
      </c>
      <c r="W175" s="1">
        <v>1</v>
      </c>
      <c r="X175" s="1">
        <v>0</v>
      </c>
      <c r="Y175" s="1">
        <v>0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1</v>
      </c>
      <c r="AU175" s="1">
        <v>1</v>
      </c>
      <c r="AV175" s="1">
        <v>0</v>
      </c>
      <c r="AW175" s="1">
        <v>1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1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1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1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1</v>
      </c>
      <c r="CV175" s="1">
        <v>1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1</v>
      </c>
      <c r="DD175" s="1">
        <v>0</v>
      </c>
      <c r="DE175" s="1">
        <v>1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1</v>
      </c>
      <c r="DM175" s="1">
        <v>0</v>
      </c>
      <c r="DN175" s="1">
        <v>0</v>
      </c>
      <c r="DO175" s="1">
        <v>0</v>
      </c>
      <c r="DP175" s="1">
        <v>1</v>
      </c>
      <c r="DQ175" s="1">
        <v>1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1</v>
      </c>
      <c r="ED175" s="1">
        <v>0</v>
      </c>
      <c r="EE175" s="1">
        <v>1</v>
      </c>
      <c r="EF175" s="1">
        <v>0</v>
      </c>
      <c r="EG175" s="1">
        <v>1</v>
      </c>
      <c r="EH175" s="1">
        <v>0</v>
      </c>
      <c r="EI175" s="1">
        <v>1</v>
      </c>
      <c r="EJ175" s="1">
        <v>0</v>
      </c>
      <c r="EK175" s="1">
        <v>0</v>
      </c>
      <c r="EL175" s="1">
        <v>0</v>
      </c>
      <c r="EM175" s="1">
        <v>0</v>
      </c>
      <c r="EN175" s="1">
        <v>1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1</v>
      </c>
      <c r="FE175" s="1">
        <v>1</v>
      </c>
      <c r="FF175" s="1">
        <v>1</v>
      </c>
      <c r="FG175" s="1">
        <v>1</v>
      </c>
      <c r="FH175" s="1">
        <v>1</v>
      </c>
      <c r="FI175" s="1">
        <v>1</v>
      </c>
      <c r="FJ175" s="1">
        <v>1</v>
      </c>
      <c r="FK175" s="1">
        <v>1</v>
      </c>
      <c r="FL175" s="1">
        <v>1</v>
      </c>
      <c r="FM175" s="1">
        <v>0</v>
      </c>
      <c r="FN175" s="1">
        <v>0</v>
      </c>
      <c r="FO175" s="1">
        <v>0</v>
      </c>
      <c r="FP175" s="1">
        <v>0</v>
      </c>
      <c r="FQ175" s="1">
        <v>1</v>
      </c>
      <c r="FR175" s="1">
        <v>0</v>
      </c>
      <c r="FS175" s="1">
        <v>1</v>
      </c>
      <c r="FT175" s="1">
        <v>1</v>
      </c>
      <c r="FU175" s="1">
        <v>0</v>
      </c>
      <c r="FV175" s="1">
        <v>0</v>
      </c>
      <c r="FW175" s="1">
        <v>0</v>
      </c>
      <c r="FX175" s="1">
        <v>0</v>
      </c>
      <c r="FY175" s="1">
        <v>1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1</v>
      </c>
      <c r="GI175" s="1">
        <v>1</v>
      </c>
      <c r="GJ175" s="1">
        <v>0</v>
      </c>
      <c r="GK175" s="1">
        <v>0</v>
      </c>
      <c r="GL175" s="1">
        <v>1</v>
      </c>
      <c r="GM175" s="1">
        <v>0</v>
      </c>
      <c r="GN175" s="1">
        <v>1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1</v>
      </c>
      <c r="GU175" s="1">
        <v>1</v>
      </c>
      <c r="GV175" s="1">
        <v>1</v>
      </c>
      <c r="GW175" s="1">
        <v>1</v>
      </c>
      <c r="GX175" s="1">
        <v>1</v>
      </c>
      <c r="GY175" s="1">
        <v>0</v>
      </c>
      <c r="GZ175" s="1">
        <v>0</v>
      </c>
      <c r="HA175" s="1">
        <v>0</v>
      </c>
      <c r="HB175" s="1">
        <v>0</v>
      </c>
      <c r="HC175" s="1">
        <v>1</v>
      </c>
      <c r="HD175" s="1">
        <v>1</v>
      </c>
      <c r="HE175" s="1">
        <v>0</v>
      </c>
      <c r="HF175" s="1">
        <v>0</v>
      </c>
    </row>
    <row r="176" spans="1:214" x14ac:dyDescent="0.2">
      <c r="A176" s="1" t="s">
        <v>642</v>
      </c>
      <c r="B176" s="1" t="s">
        <v>643</v>
      </c>
      <c r="D176" s="1" t="s">
        <v>351</v>
      </c>
      <c r="E176" s="1" t="s">
        <v>215</v>
      </c>
      <c r="F176" s="1">
        <v>0</v>
      </c>
      <c r="G176" s="1" t="s">
        <v>238</v>
      </c>
      <c r="H176" s="1" t="s">
        <v>239</v>
      </c>
      <c r="I176" s="1" t="s">
        <v>240</v>
      </c>
      <c r="J176" s="1">
        <v>862</v>
      </c>
      <c r="K176" s="1" t="s">
        <v>24</v>
      </c>
      <c r="L176" s="1" t="s">
        <v>261</v>
      </c>
      <c r="M176" s="1" t="s">
        <v>16</v>
      </c>
      <c r="N176" s="1">
        <f>IF(Regions_master[[#This Row],[Forecaster]]=Regions_master[[#Headers],[Grigor]],1,0)</f>
        <v>0</v>
      </c>
      <c r="O176" s="1">
        <f>IF(Regions_master[[#This Row],[Forecaster]]=Regions_master[[#Headers],[Ingo]],1,0)</f>
        <v>0</v>
      </c>
      <c r="P176" s="1">
        <f>IF(Regions_master[[#This Row],[Forecaster]]=Regions_master[[#Headers],[Danyira]],1,0)</f>
        <v>0</v>
      </c>
      <c r="Q176" s="1">
        <f>IF(Regions_master[[#This Row],[Forecaster]]=Regions_master[[#Headers],[Sebastian]],1,0)</f>
        <v>1</v>
      </c>
      <c r="R176" s="1">
        <f>IF(Regions_master[[#This Row],[Forecaster]]=Regions_master[[#Headers],[Yasu]],1,0)</f>
        <v>0</v>
      </c>
      <c r="S176" s="1">
        <f>IF(Regions_master[[#This Row],[Forecaster]]=Regions_master[[#Headers],[Zhenqian]],1,0)</f>
        <v>0</v>
      </c>
      <c r="T176" s="1">
        <f>IF(Regions_master[[#This Row],[Forecaster]]=Regions_master[[#Headers],[Berna]],1,0)</f>
        <v>0</v>
      </c>
      <c r="U176" s="1">
        <f>IF(Regions_master[[#This Row],[Forecaster]]=Regions_master[[#Headers],[Julian]],1,0)</f>
        <v>0</v>
      </c>
      <c r="V176" s="1">
        <f>IF(Regions_master[[#This Row],[Forecaster]]=Regions_master[[#Headers],[Katarzyna]],1,0)</f>
        <v>0</v>
      </c>
      <c r="W176" s="1">
        <v>1</v>
      </c>
      <c r="X176" s="1">
        <v>0</v>
      </c>
      <c r="Y176" s="1">
        <v>0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1</v>
      </c>
      <c r="AZ176" s="1">
        <v>0</v>
      </c>
      <c r="BA176" s="1">
        <v>0</v>
      </c>
      <c r="BB176" s="1">
        <v>1</v>
      </c>
      <c r="BC176" s="1">
        <v>1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1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1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1</v>
      </c>
      <c r="CT176" s="1">
        <v>0</v>
      </c>
      <c r="CU176" s="1">
        <v>1</v>
      </c>
      <c r="CV176" s="1">
        <v>1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1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1</v>
      </c>
      <c r="EE176" s="1">
        <v>0</v>
      </c>
      <c r="EF176" s="1">
        <v>0</v>
      </c>
      <c r="EG176" s="1">
        <v>0</v>
      </c>
      <c r="EH176" s="3">
        <v>1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1</v>
      </c>
      <c r="EY176" s="1">
        <v>0</v>
      </c>
      <c r="EZ176" s="1">
        <v>0</v>
      </c>
      <c r="FA176" s="1">
        <v>1</v>
      </c>
      <c r="FB176" s="1">
        <v>0</v>
      </c>
      <c r="FC176" s="1">
        <v>0</v>
      </c>
      <c r="FD176" s="1">
        <v>0</v>
      </c>
      <c r="FE176" s="1">
        <v>0</v>
      </c>
      <c r="FF176" s="1">
        <v>1</v>
      </c>
      <c r="FG176" s="1">
        <v>0</v>
      </c>
      <c r="FH176" s="1">
        <v>1</v>
      </c>
      <c r="FI176" s="1">
        <v>1</v>
      </c>
      <c r="FJ176" s="1">
        <v>0</v>
      </c>
      <c r="FK176" s="1">
        <v>1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1</v>
      </c>
      <c r="FW176" s="1">
        <v>1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1</v>
      </c>
      <c r="GH176" s="1">
        <v>1</v>
      </c>
      <c r="GI176" s="1">
        <v>0</v>
      </c>
      <c r="GJ176" s="1">
        <v>0</v>
      </c>
      <c r="GK176" s="1">
        <v>1</v>
      </c>
      <c r="GL176" s="1">
        <v>0</v>
      </c>
      <c r="GM176" s="1">
        <v>0</v>
      </c>
      <c r="GN176" s="1">
        <v>1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</row>
    <row r="177" spans="1:214" x14ac:dyDescent="0.2">
      <c r="A177" s="1" t="s">
        <v>644</v>
      </c>
      <c r="B177" s="1" t="s">
        <v>645</v>
      </c>
      <c r="D177" s="1" t="s">
        <v>646</v>
      </c>
      <c r="E177" s="1" t="s">
        <v>215</v>
      </c>
      <c r="F177" s="1">
        <v>0</v>
      </c>
      <c r="G177" s="1" t="s">
        <v>216</v>
      </c>
      <c r="H177" s="1" t="s">
        <v>296</v>
      </c>
      <c r="I177" s="1" t="s">
        <v>297</v>
      </c>
      <c r="J177" s="1">
        <v>704</v>
      </c>
      <c r="K177" s="1" t="s">
        <v>24</v>
      </c>
      <c r="L177" s="1" t="s">
        <v>261</v>
      </c>
      <c r="M177" s="1" t="s">
        <v>299</v>
      </c>
      <c r="N177" s="1">
        <f>IF(Regions_master[[#This Row],[Forecaster]]=Regions_master[[#Headers],[Grigor]],1,0)</f>
        <v>0</v>
      </c>
      <c r="O177" s="1">
        <f>IF(Regions_master[[#This Row],[Forecaster]]=Regions_master[[#Headers],[Ingo]],1,0)</f>
        <v>0</v>
      </c>
      <c r="P177" s="1">
        <f>IF(Regions_master[[#This Row],[Forecaster]]=Regions_master[[#Headers],[Danyira]],1,0)</f>
        <v>0</v>
      </c>
      <c r="Q177" s="1">
        <f>IF(Regions_master[[#This Row],[Forecaster]]=Regions_master[[#Headers],[Sebastian]],1,0)</f>
        <v>0</v>
      </c>
      <c r="R177" s="1">
        <f>IF(Regions_master[[#This Row],[Forecaster]]=Regions_master[[#Headers],[Yasu]],1,0)</f>
        <v>0</v>
      </c>
      <c r="S177" s="1">
        <f>IF(Regions_master[[#This Row],[Forecaster]]=Regions_master[[#Headers],[Zhenqian]],1,0)</f>
        <v>1</v>
      </c>
      <c r="T177" s="1">
        <f>IF(Regions_master[[#This Row],[Forecaster]]=Regions_master[[#Headers],[Berna]],1,0)</f>
        <v>0</v>
      </c>
      <c r="U177" s="1">
        <f>IF(Regions_master[[#This Row],[Forecaster]]=Regions_master[[#Headers],[Julian]],1,0)</f>
        <v>0</v>
      </c>
      <c r="V177" s="1">
        <f>IF(Regions_master[[#This Row],[Forecaster]]=Regions_master[[#Headers],[Katarzyna]],1,0)</f>
        <v>0</v>
      </c>
      <c r="W177" s="1">
        <v>1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1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1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1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1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1</v>
      </c>
      <c r="DD177" s="1">
        <v>0</v>
      </c>
      <c r="DE177" s="1">
        <v>1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1</v>
      </c>
      <c r="DM177" s="1">
        <v>0</v>
      </c>
      <c r="DN177" s="1">
        <v>0</v>
      </c>
      <c r="DO177" s="1">
        <v>0</v>
      </c>
      <c r="DP177" s="1">
        <v>1</v>
      </c>
      <c r="DQ177" s="1">
        <v>1</v>
      </c>
      <c r="DR177" s="1">
        <v>0</v>
      </c>
      <c r="DS177" s="1">
        <v>0</v>
      </c>
      <c r="DT177" s="1">
        <v>0</v>
      </c>
      <c r="DU177" s="1">
        <v>1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1</v>
      </c>
      <c r="ED177" s="1">
        <v>0</v>
      </c>
      <c r="EE177" s="1">
        <v>0</v>
      </c>
      <c r="EF177" s="1">
        <v>1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1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1</v>
      </c>
      <c r="FC177" s="1">
        <v>0</v>
      </c>
      <c r="FD177" s="1">
        <v>1</v>
      </c>
      <c r="FE177" s="1">
        <v>1</v>
      </c>
      <c r="FF177" s="1">
        <v>1</v>
      </c>
      <c r="FG177" s="1">
        <v>1</v>
      </c>
      <c r="FH177" s="1">
        <v>1</v>
      </c>
      <c r="FI177" s="1">
        <v>1</v>
      </c>
      <c r="FJ177" s="1">
        <v>1</v>
      </c>
      <c r="FK177" s="1">
        <v>1</v>
      </c>
      <c r="FL177" s="1">
        <v>1</v>
      </c>
      <c r="FM177" s="1">
        <v>0</v>
      </c>
      <c r="FN177" s="1">
        <v>0</v>
      </c>
      <c r="FO177" s="1">
        <v>0</v>
      </c>
      <c r="FP177" s="1">
        <v>0</v>
      </c>
      <c r="FQ177" s="1">
        <v>1</v>
      </c>
      <c r="FR177" s="1">
        <v>0</v>
      </c>
      <c r="FS177" s="1">
        <v>1</v>
      </c>
      <c r="FT177" s="1">
        <v>1</v>
      </c>
      <c r="FU177" s="1">
        <v>0</v>
      </c>
      <c r="FV177" s="1">
        <v>0</v>
      </c>
      <c r="FW177" s="1">
        <v>0</v>
      </c>
      <c r="FX177" s="1">
        <v>0</v>
      </c>
      <c r="FY177" s="1">
        <v>1</v>
      </c>
      <c r="FZ177" s="1">
        <v>0</v>
      </c>
      <c r="GA177" s="1">
        <v>0</v>
      </c>
      <c r="GB177" s="1">
        <v>0</v>
      </c>
      <c r="GC177" s="1">
        <v>0</v>
      </c>
      <c r="GD177" s="1">
        <v>1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1</v>
      </c>
      <c r="GK177" s="1">
        <v>0</v>
      </c>
      <c r="GL177" s="1">
        <v>1</v>
      </c>
      <c r="GM177" s="1">
        <v>0</v>
      </c>
      <c r="GN177" s="1">
        <v>1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1</v>
      </c>
      <c r="GU177" s="1">
        <v>1</v>
      </c>
      <c r="GV177" s="1">
        <v>1</v>
      </c>
      <c r="GW177" s="1">
        <v>1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1</v>
      </c>
      <c r="HD177" s="1">
        <v>1</v>
      </c>
      <c r="HE177" s="1">
        <v>0</v>
      </c>
      <c r="HF177" s="1">
        <v>0</v>
      </c>
    </row>
    <row r="178" spans="1:214" x14ac:dyDescent="0.2">
      <c r="A178" s="1" t="s">
        <v>647</v>
      </c>
      <c r="B178" s="1" t="s">
        <v>647</v>
      </c>
      <c r="D178" s="1" t="s">
        <v>648</v>
      </c>
      <c r="E178" s="1" t="s">
        <v>215</v>
      </c>
      <c r="F178" s="1">
        <v>0</v>
      </c>
      <c r="G178" s="1" t="s">
        <v>216</v>
      </c>
      <c r="H178" s="1" t="s">
        <v>264</v>
      </c>
      <c r="I178" s="1" t="s">
        <v>265</v>
      </c>
      <c r="J178" s="1">
        <v>887</v>
      </c>
      <c r="K178" s="1" t="s">
        <v>24</v>
      </c>
      <c r="L178" s="1" t="s">
        <v>266</v>
      </c>
      <c r="M178" s="1" t="s">
        <v>18</v>
      </c>
      <c r="N178" s="1">
        <f>IF(Regions_master[[#This Row],[Forecaster]]=Regions_master[[#Headers],[Grigor]],1,0)</f>
        <v>0</v>
      </c>
      <c r="O178" s="1">
        <f>IF(Regions_master[[#This Row],[Forecaster]]=Regions_master[[#Headers],[Ingo]],1,0)</f>
        <v>0</v>
      </c>
      <c r="P178" s="1">
        <f>IF(Regions_master[[#This Row],[Forecaster]]=Regions_master[[#Headers],[Danyira]],1,0)</f>
        <v>0</v>
      </c>
      <c r="Q178" s="1">
        <f>IF(Regions_master[[#This Row],[Forecaster]]=Regions_master[[#Headers],[Sebastian]],1,0)</f>
        <v>0</v>
      </c>
      <c r="R178" s="1">
        <f>IF(Regions_master[[#This Row],[Forecaster]]=Regions_master[[#Headers],[Yasu]],1,0)</f>
        <v>0</v>
      </c>
      <c r="S178" s="1">
        <f>IF(Regions_master[[#This Row],[Forecaster]]=Regions_master[[#Headers],[Zhenqian]],1,0)</f>
        <v>0</v>
      </c>
      <c r="T178" s="1">
        <f>IF(Regions_master[[#This Row],[Forecaster]]=Regions_master[[#Headers],[Berna]],1,0)</f>
        <v>1</v>
      </c>
      <c r="U178" s="1">
        <f>IF(Regions_master[[#This Row],[Forecaster]]=Regions_master[[#Headers],[Julian]],1,0)</f>
        <v>0</v>
      </c>
      <c r="V178" s="1">
        <f>IF(Regions_master[[#This Row],[Forecaster]]=Regions_master[[#Headers],[Katarzyna]],1,0)</f>
        <v>0</v>
      </c>
      <c r="W178" s="1">
        <v>1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0</v>
      </c>
      <c r="AX178" s="1">
        <v>1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1</v>
      </c>
      <c r="BH178" s="1">
        <v>1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</v>
      </c>
      <c r="BO178" s="1">
        <v>0</v>
      </c>
      <c r="BP178" s="1">
        <v>0</v>
      </c>
      <c r="BQ178" s="1">
        <v>0</v>
      </c>
      <c r="BR178" s="1">
        <v>0</v>
      </c>
      <c r="BS178" s="1">
        <v>1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1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1</v>
      </c>
      <c r="CV178" s="1">
        <v>1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1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1</v>
      </c>
      <c r="DO178" s="1">
        <v>0</v>
      </c>
      <c r="DP178" s="1">
        <v>1</v>
      </c>
      <c r="DQ178" s="1">
        <v>1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1</v>
      </c>
      <c r="EE178" s="1">
        <v>0</v>
      </c>
      <c r="EF178" s="1">
        <v>0</v>
      </c>
      <c r="EG178" s="1">
        <v>0</v>
      </c>
      <c r="EH178" s="1">
        <v>1</v>
      </c>
      <c r="EI178" s="1">
        <v>0</v>
      </c>
      <c r="EJ178" s="1">
        <v>1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1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1</v>
      </c>
      <c r="EY178" s="1">
        <v>0</v>
      </c>
      <c r="EZ178" s="1">
        <v>0</v>
      </c>
      <c r="FA178" s="1">
        <v>1</v>
      </c>
      <c r="FB178" s="1">
        <v>0</v>
      </c>
      <c r="FC178" s="1">
        <v>0</v>
      </c>
      <c r="FD178" s="1">
        <v>1</v>
      </c>
      <c r="FE178" s="1">
        <v>1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 s="1">
        <v>0</v>
      </c>
      <c r="FN178" s="1">
        <v>0</v>
      </c>
      <c r="FO178" s="1">
        <v>0</v>
      </c>
      <c r="FP178" s="1">
        <v>0</v>
      </c>
      <c r="FQ178" s="1">
        <v>1</v>
      </c>
      <c r="FR178" s="1">
        <v>0</v>
      </c>
      <c r="FS178" s="1">
        <v>0</v>
      </c>
      <c r="FT178" s="1">
        <v>0</v>
      </c>
      <c r="FU178" s="1">
        <v>1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1</v>
      </c>
      <c r="GE178" s="1">
        <v>0</v>
      </c>
      <c r="GF178" s="1">
        <v>1</v>
      </c>
      <c r="GG178" s="1">
        <v>1</v>
      </c>
      <c r="GH178" s="1">
        <v>1</v>
      </c>
      <c r="GI178" s="1">
        <v>0</v>
      </c>
      <c r="GJ178" s="1">
        <v>0</v>
      </c>
      <c r="GK178" s="1">
        <v>1</v>
      </c>
      <c r="GL178" s="1">
        <v>0</v>
      </c>
      <c r="GM178" s="1">
        <v>1</v>
      </c>
      <c r="GN178" s="1">
        <v>1</v>
      </c>
      <c r="GO178" s="1">
        <v>1</v>
      </c>
      <c r="GP178" s="1">
        <v>1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</row>
    <row r="179" spans="1:214" x14ac:dyDescent="0.2">
      <c r="A179" s="1" t="s">
        <v>649</v>
      </c>
      <c r="B179" s="1" t="s">
        <v>649</v>
      </c>
      <c r="D179" s="1" t="s">
        <v>650</v>
      </c>
      <c r="E179" s="1" t="s">
        <v>215</v>
      </c>
      <c r="F179" s="1">
        <v>0</v>
      </c>
      <c r="G179" s="1" t="s">
        <v>227</v>
      </c>
      <c r="H179" s="1" t="s">
        <v>233</v>
      </c>
      <c r="I179" s="1" t="s">
        <v>234</v>
      </c>
      <c r="J179" s="1">
        <v>894</v>
      </c>
      <c r="K179" s="1" t="s">
        <v>24</v>
      </c>
      <c r="L179" s="1" t="s">
        <v>305</v>
      </c>
      <c r="M179" s="1" t="s">
        <v>20</v>
      </c>
      <c r="N179" s="1">
        <f>IF(Regions_master[[#This Row],[Forecaster]]=Regions_master[[#Headers],[Grigor]],1,0)</f>
        <v>0</v>
      </c>
      <c r="O179" s="1">
        <f>IF(Regions_master[[#This Row],[Forecaster]]=Regions_master[[#Headers],[Ingo]],1,0)</f>
        <v>0</v>
      </c>
      <c r="P179" s="1">
        <f>IF(Regions_master[[#This Row],[Forecaster]]=Regions_master[[#Headers],[Danyira]],1,0)</f>
        <v>0</v>
      </c>
      <c r="Q179" s="1">
        <f>IF(Regions_master[[#This Row],[Forecaster]]=Regions_master[[#Headers],[Sebastian]],1,0)</f>
        <v>0</v>
      </c>
      <c r="R179" s="1">
        <f>IF(Regions_master[[#This Row],[Forecaster]]=Regions_master[[#Headers],[Yasu]],1,0)</f>
        <v>0</v>
      </c>
      <c r="S179" s="1">
        <f>IF(Regions_master[[#This Row],[Forecaster]]=Regions_master[[#Headers],[Zhenqian]],1,0)</f>
        <v>0</v>
      </c>
      <c r="T179" s="1">
        <f>IF(Regions_master[[#This Row],[Forecaster]]=Regions_master[[#Headers],[Berna]],1,0)</f>
        <v>0</v>
      </c>
      <c r="U179" s="1">
        <f>IF(Regions_master[[#This Row],[Forecaster]]=Regions_master[[#Headers],[Julian]],1,0)</f>
        <v>0</v>
      </c>
      <c r="V179" s="1">
        <f>IF(Regions_master[[#This Row],[Forecaster]]=Regions_master[[#Headers],[Katarzyna]],1,0)</f>
        <v>1</v>
      </c>
      <c r="W179" s="1">
        <v>1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</v>
      </c>
      <c r="AO179" s="1">
        <v>0</v>
      </c>
      <c r="AP179" s="1">
        <v>0</v>
      </c>
      <c r="AQ179" s="1">
        <v>0</v>
      </c>
      <c r="AR179" s="1">
        <v>1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</v>
      </c>
      <c r="BG179" s="1">
        <v>0</v>
      </c>
      <c r="BH179" s="1">
        <v>1</v>
      </c>
      <c r="BI179" s="1">
        <v>1</v>
      </c>
      <c r="BJ179" s="1">
        <v>1</v>
      </c>
      <c r="BK179" s="1">
        <v>0</v>
      </c>
      <c r="BL179" s="1">
        <v>0</v>
      </c>
      <c r="BM179" s="1">
        <v>1</v>
      </c>
      <c r="BN179" s="1">
        <v>0</v>
      </c>
      <c r="BO179" s="1">
        <v>0</v>
      </c>
      <c r="BP179" s="1">
        <v>0</v>
      </c>
      <c r="BQ179" s="1">
        <v>1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1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1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1</v>
      </c>
      <c r="CV179" s="1">
        <v>1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1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1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1</v>
      </c>
      <c r="DQ179" s="1">
        <v>1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1</v>
      </c>
      <c r="DY179" s="1">
        <v>0</v>
      </c>
      <c r="DZ179" s="1">
        <v>0</v>
      </c>
      <c r="EA179" s="1">
        <v>0</v>
      </c>
      <c r="EB179" s="1">
        <v>0</v>
      </c>
      <c r="EC179" s="1">
        <v>1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1</v>
      </c>
      <c r="EK179" s="1">
        <v>1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1</v>
      </c>
      <c r="ER179" s="1">
        <v>0</v>
      </c>
      <c r="ES179" s="1">
        <v>0</v>
      </c>
      <c r="ET179" s="1">
        <v>0</v>
      </c>
      <c r="EU179" s="1">
        <v>1</v>
      </c>
      <c r="EV179" s="1">
        <v>0</v>
      </c>
      <c r="EW179" s="1">
        <v>0</v>
      </c>
      <c r="EX179" s="1">
        <v>1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1</v>
      </c>
      <c r="FE179" s="1">
        <v>1</v>
      </c>
      <c r="FF179" s="1">
        <v>1</v>
      </c>
      <c r="FG179" s="1">
        <v>1</v>
      </c>
      <c r="FH179" s="1">
        <v>1</v>
      </c>
      <c r="FI179" s="1">
        <v>1</v>
      </c>
      <c r="FJ179" s="1">
        <v>1</v>
      </c>
      <c r="FK179" s="1">
        <v>1</v>
      </c>
      <c r="FL179" s="1">
        <v>1</v>
      </c>
      <c r="FM179" s="1">
        <v>0</v>
      </c>
      <c r="FN179" s="1">
        <v>0</v>
      </c>
      <c r="FO179" s="1">
        <v>0</v>
      </c>
      <c r="FP179" s="1">
        <v>1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1</v>
      </c>
      <c r="FY179" s="1">
        <v>0</v>
      </c>
      <c r="FZ179" s="1">
        <v>0</v>
      </c>
      <c r="GA179" s="1">
        <v>0</v>
      </c>
      <c r="GB179" s="1">
        <v>0</v>
      </c>
      <c r="GC179" s="1">
        <v>1</v>
      </c>
      <c r="GD179" s="1">
        <v>0</v>
      </c>
      <c r="GE179" s="1">
        <v>0</v>
      </c>
      <c r="GF179" s="1">
        <v>0</v>
      </c>
      <c r="GG179" s="1">
        <v>0</v>
      </c>
      <c r="GH179" s="1">
        <v>1</v>
      </c>
      <c r="GI179" s="1">
        <v>0</v>
      </c>
      <c r="GJ179" s="1">
        <v>0</v>
      </c>
      <c r="GK179" s="1">
        <v>0</v>
      </c>
      <c r="GL179" s="1">
        <v>1</v>
      </c>
      <c r="GM179" s="1">
        <v>0</v>
      </c>
      <c r="GN179" s="1">
        <v>1</v>
      </c>
      <c r="GO179" s="1">
        <v>1</v>
      </c>
      <c r="GP179" s="1">
        <v>0</v>
      </c>
      <c r="GQ179" s="1">
        <v>1</v>
      </c>
      <c r="GR179" s="1">
        <v>0</v>
      </c>
      <c r="GS179" s="1">
        <v>1</v>
      </c>
      <c r="GT179" s="1">
        <v>1</v>
      </c>
      <c r="GU179" s="1">
        <v>1</v>
      </c>
      <c r="GV179" s="1">
        <v>1</v>
      </c>
      <c r="GW179" s="1">
        <v>1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1</v>
      </c>
      <c r="HD179" s="1">
        <v>1</v>
      </c>
      <c r="HE179" s="1">
        <v>0</v>
      </c>
      <c r="HF179" s="1">
        <v>0</v>
      </c>
    </row>
    <row r="180" spans="1:214" x14ac:dyDescent="0.2">
      <c r="A180" s="1" t="s">
        <v>651</v>
      </c>
      <c r="B180" s="1" t="s">
        <v>651</v>
      </c>
      <c r="D180" s="1" t="s">
        <v>481</v>
      </c>
      <c r="E180" s="1" t="s">
        <v>215</v>
      </c>
      <c r="F180" s="1">
        <v>0</v>
      </c>
      <c r="G180" s="1" t="s">
        <v>227</v>
      </c>
      <c r="H180" s="1" t="s">
        <v>233</v>
      </c>
      <c r="I180" s="1" t="s">
        <v>234</v>
      </c>
      <c r="J180" s="1">
        <v>716</v>
      </c>
      <c r="K180" s="1" t="s">
        <v>24</v>
      </c>
      <c r="L180" s="1" t="s">
        <v>389</v>
      </c>
      <c r="M180" s="1" t="s">
        <v>20</v>
      </c>
      <c r="N180" s="1">
        <f>IF(Regions_master[[#This Row],[Forecaster]]=Regions_master[[#Headers],[Grigor]],1,0)</f>
        <v>0</v>
      </c>
      <c r="O180" s="1">
        <f>IF(Regions_master[[#This Row],[Forecaster]]=Regions_master[[#Headers],[Ingo]],1,0)</f>
        <v>0</v>
      </c>
      <c r="P180" s="1">
        <f>IF(Regions_master[[#This Row],[Forecaster]]=Regions_master[[#Headers],[Danyira]],1,0)</f>
        <v>0</v>
      </c>
      <c r="Q180" s="1">
        <f>IF(Regions_master[[#This Row],[Forecaster]]=Regions_master[[#Headers],[Sebastian]],1,0)</f>
        <v>0</v>
      </c>
      <c r="R180" s="1">
        <f>IF(Regions_master[[#This Row],[Forecaster]]=Regions_master[[#Headers],[Yasu]],1,0)</f>
        <v>0</v>
      </c>
      <c r="S180" s="1">
        <f>IF(Regions_master[[#This Row],[Forecaster]]=Regions_master[[#Headers],[Zhenqian]],1,0)</f>
        <v>0</v>
      </c>
      <c r="T180" s="1">
        <f>IF(Regions_master[[#This Row],[Forecaster]]=Regions_master[[#Headers],[Berna]],1,0)</f>
        <v>0</v>
      </c>
      <c r="U180" s="1">
        <f>IF(Regions_master[[#This Row],[Forecaster]]=Regions_master[[#Headers],[Julian]],1,0)</f>
        <v>0</v>
      </c>
      <c r="V180" s="1">
        <f>IF(Regions_master[[#This Row],[Forecaster]]=Regions_master[[#Headers],[Katarzyna]],1,0)</f>
        <v>1</v>
      </c>
      <c r="W180" s="1">
        <v>1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0</v>
      </c>
      <c r="AP180" s="1">
        <v>0</v>
      </c>
      <c r="AQ180" s="1">
        <v>0</v>
      </c>
      <c r="AR180" s="1">
        <v>1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1</v>
      </c>
      <c r="BN180" s="1">
        <v>0</v>
      </c>
      <c r="BO180" s="1">
        <v>0</v>
      </c>
      <c r="BP180" s="1">
        <v>0</v>
      </c>
      <c r="BQ180" s="1">
        <v>1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1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1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1</v>
      </c>
      <c r="CV180" s="1">
        <v>1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1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1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1</v>
      </c>
      <c r="DQ180" s="1">
        <v>1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1</v>
      </c>
      <c r="DY180" s="1">
        <v>0</v>
      </c>
      <c r="DZ180" s="1">
        <v>0</v>
      </c>
      <c r="EA180" s="1">
        <v>0</v>
      </c>
      <c r="EB180" s="1">
        <v>0</v>
      </c>
      <c r="EC180" s="1">
        <v>1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1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1</v>
      </c>
      <c r="ER180" s="1">
        <v>0</v>
      </c>
      <c r="ES180" s="1">
        <v>0</v>
      </c>
      <c r="ET180" s="1">
        <v>0</v>
      </c>
      <c r="EU180" s="1">
        <v>1</v>
      </c>
      <c r="EV180" s="1">
        <v>0</v>
      </c>
      <c r="EW180" s="1">
        <v>0</v>
      </c>
      <c r="EX180" s="1">
        <v>1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1</v>
      </c>
      <c r="FE180" s="1">
        <v>1</v>
      </c>
      <c r="FF180" s="1">
        <v>1</v>
      </c>
      <c r="FG180" s="1">
        <v>1</v>
      </c>
      <c r="FH180" s="1">
        <v>1</v>
      </c>
      <c r="FI180" s="1">
        <v>1</v>
      </c>
      <c r="FJ180" s="1">
        <v>1</v>
      </c>
      <c r="FK180" s="1">
        <v>1</v>
      </c>
      <c r="FL180" s="1">
        <v>1</v>
      </c>
      <c r="FM180" s="1">
        <v>0</v>
      </c>
      <c r="FN180" s="1">
        <v>0</v>
      </c>
      <c r="FO180" s="1">
        <v>0</v>
      </c>
      <c r="FP180" s="1">
        <v>1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1</v>
      </c>
      <c r="FY180" s="1">
        <v>0</v>
      </c>
      <c r="FZ180" s="1">
        <v>0</v>
      </c>
      <c r="GA180" s="1">
        <v>0</v>
      </c>
      <c r="GB180" s="1">
        <v>0</v>
      </c>
      <c r="GC180" s="1">
        <v>1</v>
      </c>
      <c r="GD180" s="1">
        <v>0</v>
      </c>
      <c r="GE180" s="1">
        <v>0</v>
      </c>
      <c r="GF180" s="1">
        <v>0</v>
      </c>
      <c r="GG180" s="1">
        <v>0</v>
      </c>
      <c r="GH180" s="1">
        <v>1</v>
      </c>
      <c r="GI180" s="1">
        <v>0</v>
      </c>
      <c r="GJ180" s="1">
        <v>0</v>
      </c>
      <c r="GK180" s="1">
        <v>0</v>
      </c>
      <c r="GL180" s="1">
        <v>1</v>
      </c>
      <c r="GM180" s="1">
        <v>0</v>
      </c>
      <c r="GN180" s="1">
        <v>1</v>
      </c>
      <c r="GO180" s="1">
        <v>0</v>
      </c>
      <c r="GP180" s="1">
        <v>0</v>
      </c>
      <c r="GQ180" s="1">
        <v>1</v>
      </c>
      <c r="GR180" s="1">
        <v>0</v>
      </c>
      <c r="GS180" s="1">
        <v>1</v>
      </c>
      <c r="GT180" s="1">
        <v>1</v>
      </c>
      <c r="GU180" s="1">
        <v>1</v>
      </c>
      <c r="GV180" s="1">
        <v>1</v>
      </c>
      <c r="GW180" s="1">
        <v>1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1</v>
      </c>
      <c r="HD180" s="1">
        <v>1</v>
      </c>
      <c r="HE180" s="1">
        <v>0</v>
      </c>
      <c r="HF180" s="1">
        <v>0</v>
      </c>
    </row>
    <row r="181" spans="1:214" x14ac:dyDescent="0.2">
      <c r="A181" s="1" t="s">
        <v>227</v>
      </c>
      <c r="B181" s="1" t="s">
        <v>227</v>
      </c>
      <c r="D181" s="1" t="s">
        <v>38</v>
      </c>
      <c r="E181" s="1" t="s">
        <v>5</v>
      </c>
      <c r="F181" s="1">
        <v>1</v>
      </c>
    </row>
    <row r="182" spans="1:214" x14ac:dyDescent="0.2">
      <c r="A182" s="1" t="s">
        <v>652</v>
      </c>
      <c r="B182" s="1" t="s">
        <v>653</v>
      </c>
      <c r="D182" s="1" t="s">
        <v>112</v>
      </c>
      <c r="E182" s="1" t="s">
        <v>5</v>
      </c>
      <c r="F182" s="1">
        <v>1</v>
      </c>
    </row>
    <row r="183" spans="1:214" x14ac:dyDescent="0.2">
      <c r="A183" s="1" t="s">
        <v>654</v>
      </c>
      <c r="B183" s="1" t="s">
        <v>655</v>
      </c>
      <c r="D183" s="1" t="s">
        <v>103</v>
      </c>
      <c r="E183" s="1" t="s">
        <v>5</v>
      </c>
      <c r="F183" s="1">
        <v>1</v>
      </c>
    </row>
    <row r="184" spans="1:214" x14ac:dyDescent="0.2">
      <c r="A184" s="1" t="s">
        <v>656</v>
      </c>
      <c r="B184" s="1" t="s">
        <v>657</v>
      </c>
      <c r="D184" s="1" t="s">
        <v>104</v>
      </c>
      <c r="E184" s="1" t="s">
        <v>5</v>
      </c>
      <c r="F184" s="1">
        <v>1</v>
      </c>
    </row>
    <row r="185" spans="1:214" x14ac:dyDescent="0.2">
      <c r="A185" s="1" t="s">
        <v>658</v>
      </c>
      <c r="B185" s="1" t="s">
        <v>659</v>
      </c>
      <c r="D185" s="1" t="s">
        <v>135</v>
      </c>
      <c r="E185" s="1" t="s">
        <v>5</v>
      </c>
      <c r="F185" s="1">
        <v>1</v>
      </c>
    </row>
    <row r="186" spans="1:214" x14ac:dyDescent="0.2">
      <c r="A186" s="1" t="s">
        <v>660</v>
      </c>
      <c r="B186" s="1" t="s">
        <v>661</v>
      </c>
      <c r="D186" s="1" t="s">
        <v>64</v>
      </c>
      <c r="E186" s="1" t="s">
        <v>5</v>
      </c>
      <c r="F186" s="1">
        <v>1</v>
      </c>
    </row>
    <row r="187" spans="1:214" x14ac:dyDescent="0.2">
      <c r="A187" s="1" t="s">
        <v>662</v>
      </c>
      <c r="B187" s="1" t="s">
        <v>123</v>
      </c>
      <c r="D187" s="1" t="s">
        <v>123</v>
      </c>
      <c r="E187" s="1" t="s">
        <v>5</v>
      </c>
      <c r="F187" s="1">
        <v>1</v>
      </c>
    </row>
    <row r="188" spans="1:214" x14ac:dyDescent="0.2">
      <c r="A188" s="1" t="s">
        <v>216</v>
      </c>
      <c r="B188" s="1" t="s">
        <v>216</v>
      </c>
      <c r="D188" s="1" t="s">
        <v>44</v>
      </c>
      <c r="E188" s="1" t="s">
        <v>5</v>
      </c>
      <c r="F188" s="1">
        <v>1</v>
      </c>
    </row>
    <row r="189" spans="1:214" x14ac:dyDescent="0.2">
      <c r="A189" s="1" t="s">
        <v>663</v>
      </c>
      <c r="B189" s="1" t="s">
        <v>664</v>
      </c>
      <c r="D189" s="1" t="s">
        <v>47</v>
      </c>
      <c r="E189" s="1" t="s">
        <v>5</v>
      </c>
      <c r="F189" s="1">
        <v>1</v>
      </c>
    </row>
    <row r="190" spans="1:214" x14ac:dyDescent="0.2">
      <c r="A190" s="1" t="s">
        <v>665</v>
      </c>
      <c r="B190" s="1" t="s">
        <v>665</v>
      </c>
      <c r="D190" s="1" t="s">
        <v>66</v>
      </c>
      <c r="E190" s="1" t="s">
        <v>5</v>
      </c>
      <c r="F190" s="1">
        <v>1</v>
      </c>
    </row>
    <row r="191" spans="1:214" x14ac:dyDescent="0.2">
      <c r="A191" s="1" t="s">
        <v>259</v>
      </c>
      <c r="B191" s="1" t="s">
        <v>259</v>
      </c>
      <c r="D191" s="1" t="s">
        <v>50</v>
      </c>
      <c r="E191" s="1" t="s">
        <v>5</v>
      </c>
      <c r="F191" s="1">
        <v>1</v>
      </c>
    </row>
    <row r="192" spans="1:214" x14ac:dyDescent="0.2">
      <c r="A192" s="1" t="s">
        <v>318</v>
      </c>
      <c r="B192" s="1" t="s">
        <v>666</v>
      </c>
      <c r="D192" s="1" t="s">
        <v>40</v>
      </c>
      <c r="E192" s="1" t="s">
        <v>5</v>
      </c>
      <c r="F192" s="1">
        <v>1</v>
      </c>
    </row>
    <row r="193" spans="1:6" x14ac:dyDescent="0.2">
      <c r="A193" s="1" t="s">
        <v>667</v>
      </c>
      <c r="B193" s="1" t="s">
        <v>668</v>
      </c>
      <c r="D193" s="1" t="s">
        <v>117</v>
      </c>
      <c r="E193" s="1" t="s">
        <v>5</v>
      </c>
      <c r="F193" s="1">
        <v>1</v>
      </c>
    </row>
    <row r="194" spans="1:6" x14ac:dyDescent="0.2">
      <c r="A194" s="1" t="s">
        <v>669</v>
      </c>
      <c r="B194" s="1" t="s">
        <v>670</v>
      </c>
      <c r="D194" s="1" t="s">
        <v>101</v>
      </c>
      <c r="E194" s="1" t="s">
        <v>5</v>
      </c>
      <c r="F194" s="1">
        <v>1</v>
      </c>
    </row>
    <row r="195" spans="1:6" x14ac:dyDescent="0.2">
      <c r="A195" s="1" t="s">
        <v>671</v>
      </c>
      <c r="B195" s="1" t="s">
        <v>672</v>
      </c>
      <c r="D195" s="1" t="s">
        <v>102</v>
      </c>
      <c r="E195" s="1" t="s">
        <v>5</v>
      </c>
      <c r="F195" s="1">
        <v>1</v>
      </c>
    </row>
    <row r="196" spans="1:6" x14ac:dyDescent="0.2">
      <c r="A196" s="1" t="s">
        <v>673</v>
      </c>
      <c r="B196" s="1" t="s">
        <v>674</v>
      </c>
      <c r="D196" s="1" t="s">
        <v>98</v>
      </c>
      <c r="E196" s="1" t="s">
        <v>5</v>
      </c>
      <c r="F196" s="1">
        <v>1</v>
      </c>
    </row>
    <row r="197" spans="1:6" x14ac:dyDescent="0.2">
      <c r="A197" s="1" t="s">
        <v>244</v>
      </c>
      <c r="B197" s="1" t="s">
        <v>675</v>
      </c>
      <c r="D197" s="1" t="s">
        <v>37</v>
      </c>
      <c r="E197" s="1" t="s">
        <v>5</v>
      </c>
      <c r="F197" s="1">
        <v>1</v>
      </c>
    </row>
    <row r="198" spans="1:6" x14ac:dyDescent="0.2">
      <c r="A198" s="1" t="s">
        <v>676</v>
      </c>
      <c r="B198" s="1" t="s">
        <v>677</v>
      </c>
      <c r="D198" s="1" t="s">
        <v>22</v>
      </c>
      <c r="E198" s="1" t="s">
        <v>5</v>
      </c>
      <c r="F198" s="1">
        <v>1</v>
      </c>
    </row>
    <row r="199" spans="1:6" x14ac:dyDescent="0.2">
      <c r="A199" s="1" t="s">
        <v>248</v>
      </c>
      <c r="B199" s="1" t="s">
        <v>678</v>
      </c>
      <c r="D199" s="1" t="s">
        <v>26</v>
      </c>
      <c r="E199" s="1" t="s">
        <v>5</v>
      </c>
      <c r="F199" s="1">
        <v>1</v>
      </c>
    </row>
    <row r="200" spans="1:6" x14ac:dyDescent="0.2">
      <c r="A200" s="1" t="s">
        <v>679</v>
      </c>
      <c r="B200" s="1" t="s">
        <v>680</v>
      </c>
      <c r="D200" s="1" t="s">
        <v>24</v>
      </c>
      <c r="E200" s="1" t="s">
        <v>5</v>
      </c>
      <c r="F200" s="1">
        <v>1</v>
      </c>
    </row>
    <row r="201" spans="1:6" x14ac:dyDescent="0.2">
      <c r="A201" s="1" t="s">
        <v>681</v>
      </c>
      <c r="B201" s="1" t="s">
        <v>682</v>
      </c>
      <c r="D201" s="1" t="s">
        <v>119</v>
      </c>
      <c r="E201" s="1" t="s">
        <v>5</v>
      </c>
      <c r="F201" s="1">
        <v>1</v>
      </c>
    </row>
    <row r="202" spans="1:6" x14ac:dyDescent="0.2">
      <c r="A202" s="1" t="s">
        <v>683</v>
      </c>
      <c r="B202" s="1" t="s">
        <v>128</v>
      </c>
      <c r="D202" s="1" t="s">
        <v>128</v>
      </c>
      <c r="E202" s="1" t="s">
        <v>5</v>
      </c>
      <c r="F202" s="1">
        <v>1</v>
      </c>
    </row>
    <row r="203" spans="1:6" x14ac:dyDescent="0.2">
      <c r="A203" s="1" t="s">
        <v>308</v>
      </c>
      <c r="B203" s="1" t="s">
        <v>684</v>
      </c>
      <c r="D203" s="1" t="s">
        <v>41</v>
      </c>
      <c r="E203" s="1" t="s">
        <v>5</v>
      </c>
      <c r="F203" s="1">
        <v>1</v>
      </c>
    </row>
    <row r="204" spans="1:6" x14ac:dyDescent="0.2">
      <c r="A204" s="1" t="s">
        <v>685</v>
      </c>
      <c r="B204" s="1" t="s">
        <v>686</v>
      </c>
      <c r="D204" s="1" t="s">
        <v>105</v>
      </c>
      <c r="E204" s="1" t="s">
        <v>5</v>
      </c>
      <c r="F204" s="1">
        <v>1</v>
      </c>
    </row>
    <row r="205" spans="1:6" x14ac:dyDescent="0.2">
      <c r="A205" s="1" t="s">
        <v>687</v>
      </c>
      <c r="B205" s="1" t="s">
        <v>688</v>
      </c>
      <c r="D205" s="1" t="s">
        <v>106</v>
      </c>
      <c r="E205" s="1" t="s">
        <v>5</v>
      </c>
      <c r="F205" s="1">
        <v>1</v>
      </c>
    </row>
    <row r="206" spans="1:6" x14ac:dyDescent="0.2">
      <c r="A206" s="1" t="s">
        <v>689</v>
      </c>
      <c r="B206" s="1" t="s">
        <v>690</v>
      </c>
      <c r="D206" s="1" t="s">
        <v>107</v>
      </c>
      <c r="E206" s="1" t="s">
        <v>5</v>
      </c>
      <c r="F206" s="1">
        <v>1</v>
      </c>
    </row>
    <row r="207" spans="1:6" x14ac:dyDescent="0.2">
      <c r="A207" s="1" t="s">
        <v>296</v>
      </c>
      <c r="B207" s="1" t="s">
        <v>691</v>
      </c>
      <c r="D207" s="1" t="s">
        <v>45</v>
      </c>
      <c r="E207" s="1" t="s">
        <v>5</v>
      </c>
      <c r="F207" s="1">
        <v>1</v>
      </c>
    </row>
    <row r="208" spans="1:6" x14ac:dyDescent="0.2">
      <c r="A208" s="1" t="s">
        <v>692</v>
      </c>
      <c r="B208" s="1" t="s">
        <v>693</v>
      </c>
      <c r="D208" s="1" t="s">
        <v>114</v>
      </c>
      <c r="E208" s="1" t="s">
        <v>5</v>
      </c>
      <c r="F208" s="1">
        <v>1</v>
      </c>
    </row>
    <row r="209" spans="1:6" x14ac:dyDescent="0.2">
      <c r="A209" s="1" t="s">
        <v>694</v>
      </c>
      <c r="B209" s="1" t="s">
        <v>129</v>
      </c>
      <c r="D209" s="1" t="s">
        <v>129</v>
      </c>
      <c r="E209" s="1" t="s">
        <v>5</v>
      </c>
      <c r="F209" s="1">
        <v>1</v>
      </c>
    </row>
    <row r="210" spans="1:6" x14ac:dyDescent="0.2">
      <c r="A210" s="1" t="s">
        <v>695</v>
      </c>
      <c r="B210" s="1" t="s">
        <v>696</v>
      </c>
      <c r="D210" s="1" t="s">
        <v>100</v>
      </c>
      <c r="E210" s="1" t="s">
        <v>5</v>
      </c>
      <c r="F210" s="1">
        <v>1</v>
      </c>
    </row>
    <row r="211" spans="1:6" x14ac:dyDescent="0.2">
      <c r="A211" s="1" t="s">
        <v>697</v>
      </c>
      <c r="B211" s="1" t="s">
        <v>698</v>
      </c>
      <c r="D211" s="1" t="s">
        <v>23</v>
      </c>
      <c r="E211" s="1" t="s">
        <v>5</v>
      </c>
      <c r="F211" s="1">
        <v>1</v>
      </c>
    </row>
    <row r="212" spans="1:6" x14ac:dyDescent="0.2">
      <c r="A212" s="1" t="s">
        <v>699</v>
      </c>
      <c r="B212" s="1" t="s">
        <v>127</v>
      </c>
      <c r="D212" s="1" t="s">
        <v>127</v>
      </c>
      <c r="E212" s="1" t="s">
        <v>5</v>
      </c>
      <c r="F212" s="1">
        <v>1</v>
      </c>
    </row>
    <row r="213" spans="1:6" x14ac:dyDescent="0.2">
      <c r="A213" s="1" t="s">
        <v>700</v>
      </c>
      <c r="B213" s="1" t="s">
        <v>701</v>
      </c>
      <c r="D213" s="1" t="s">
        <v>30</v>
      </c>
      <c r="E213" s="1" t="s">
        <v>5</v>
      </c>
      <c r="F213" s="1">
        <v>1</v>
      </c>
    </row>
    <row r="214" spans="1:6" x14ac:dyDescent="0.2">
      <c r="A214" s="1" t="s">
        <v>702</v>
      </c>
      <c r="B214" s="1" t="s">
        <v>703</v>
      </c>
      <c r="D214" s="1" t="s">
        <v>31</v>
      </c>
      <c r="E214" s="1" t="s">
        <v>5</v>
      </c>
      <c r="F214" s="1">
        <v>1</v>
      </c>
    </row>
    <row r="215" spans="1:6" x14ac:dyDescent="0.2">
      <c r="A215" s="1" t="s">
        <v>251</v>
      </c>
      <c r="B215" s="1" t="s">
        <v>251</v>
      </c>
      <c r="D215" s="1" t="s">
        <v>27</v>
      </c>
      <c r="E215" s="1" t="s">
        <v>5</v>
      </c>
      <c r="F215" s="1">
        <v>1</v>
      </c>
    </row>
    <row r="216" spans="1:6" x14ac:dyDescent="0.2">
      <c r="A216" s="1" t="s">
        <v>252</v>
      </c>
      <c r="B216" s="1" t="s">
        <v>704</v>
      </c>
      <c r="D216" s="1" t="s">
        <v>29</v>
      </c>
      <c r="E216" s="1" t="s">
        <v>5</v>
      </c>
      <c r="F216" s="1">
        <v>1</v>
      </c>
    </row>
    <row r="217" spans="1:6" x14ac:dyDescent="0.2">
      <c r="A217" s="1" t="s">
        <v>705</v>
      </c>
      <c r="B217" s="1" t="s">
        <v>706</v>
      </c>
      <c r="D217" s="1" t="s">
        <v>28</v>
      </c>
      <c r="E217" s="1" t="s">
        <v>5</v>
      </c>
      <c r="F217" s="1">
        <v>1</v>
      </c>
    </row>
    <row r="218" spans="1:6" x14ac:dyDescent="0.2">
      <c r="A218" s="1" t="s">
        <v>707</v>
      </c>
      <c r="B218" s="1" t="s">
        <v>708</v>
      </c>
      <c r="D218" s="1" t="s">
        <v>53</v>
      </c>
      <c r="E218" s="1" t="s">
        <v>5</v>
      </c>
      <c r="F218" s="1">
        <v>1</v>
      </c>
    </row>
    <row r="219" spans="1:6" x14ac:dyDescent="0.2">
      <c r="A219" s="1" t="s">
        <v>96</v>
      </c>
      <c r="B219" s="1" t="s">
        <v>96</v>
      </c>
      <c r="D219" s="1" t="s">
        <v>96</v>
      </c>
      <c r="E219" s="1" t="s">
        <v>5</v>
      </c>
      <c r="F219" s="1">
        <v>1</v>
      </c>
    </row>
    <row r="220" spans="1:6" x14ac:dyDescent="0.2">
      <c r="A220" s="1" t="s">
        <v>97</v>
      </c>
      <c r="B220" s="1" t="s">
        <v>97</v>
      </c>
      <c r="D220" s="1" t="s">
        <v>97</v>
      </c>
      <c r="E220" s="1" t="s">
        <v>5</v>
      </c>
      <c r="F220" s="1">
        <v>1</v>
      </c>
    </row>
    <row r="221" spans="1:6" x14ac:dyDescent="0.2">
      <c r="A221" s="1" t="s">
        <v>709</v>
      </c>
      <c r="B221" s="1" t="s">
        <v>125</v>
      </c>
      <c r="D221" s="1" t="s">
        <v>125</v>
      </c>
      <c r="E221" s="1" t="s">
        <v>5</v>
      </c>
      <c r="F221" s="1">
        <v>1</v>
      </c>
    </row>
    <row r="222" spans="1:6" x14ac:dyDescent="0.2">
      <c r="A222" s="1" t="s">
        <v>710</v>
      </c>
      <c r="B222" s="1" t="s">
        <v>711</v>
      </c>
      <c r="D222" s="1" t="s">
        <v>59</v>
      </c>
      <c r="E222" s="1" t="s">
        <v>5</v>
      </c>
      <c r="F222" s="1">
        <v>1</v>
      </c>
    </row>
    <row r="223" spans="1:6" x14ac:dyDescent="0.2">
      <c r="A223" s="1" t="s">
        <v>712</v>
      </c>
      <c r="B223" s="1" t="s">
        <v>713</v>
      </c>
      <c r="D223" s="1" t="s">
        <v>131</v>
      </c>
      <c r="E223" s="1" t="s">
        <v>5</v>
      </c>
      <c r="F223" s="1">
        <v>1</v>
      </c>
    </row>
    <row r="224" spans="1:6" x14ac:dyDescent="0.2">
      <c r="A224" s="1" t="s">
        <v>714</v>
      </c>
      <c r="B224" s="1" t="s">
        <v>715</v>
      </c>
      <c r="D224" s="1" t="s">
        <v>54</v>
      </c>
      <c r="E224" s="1" t="s">
        <v>5</v>
      </c>
      <c r="F224" s="1">
        <v>1</v>
      </c>
    </row>
    <row r="225" spans="1:6" x14ac:dyDescent="0.2">
      <c r="A225" s="1" t="s">
        <v>716</v>
      </c>
      <c r="B225" s="1" t="s">
        <v>717</v>
      </c>
      <c r="D225" s="1" t="s">
        <v>63</v>
      </c>
      <c r="E225" s="1" t="s">
        <v>5</v>
      </c>
      <c r="F225" s="1">
        <v>1</v>
      </c>
    </row>
    <row r="226" spans="1:6" x14ac:dyDescent="0.2">
      <c r="A226" s="1" t="s">
        <v>718</v>
      </c>
      <c r="B226" s="1" t="s">
        <v>719</v>
      </c>
      <c r="D226" s="1" t="s">
        <v>120</v>
      </c>
      <c r="E226" s="1" t="s">
        <v>5</v>
      </c>
      <c r="F226" s="1">
        <v>1</v>
      </c>
    </row>
    <row r="227" spans="1:6" x14ac:dyDescent="0.2">
      <c r="A227" s="1" t="s">
        <v>238</v>
      </c>
      <c r="B227" s="1" t="s">
        <v>720</v>
      </c>
      <c r="D227" s="1" t="s">
        <v>49</v>
      </c>
      <c r="E227" s="1" t="s">
        <v>5</v>
      </c>
      <c r="F227" s="1">
        <v>1</v>
      </c>
    </row>
    <row r="228" spans="1:6" x14ac:dyDescent="0.2">
      <c r="A228" s="1" t="s">
        <v>721</v>
      </c>
      <c r="B228" s="1" t="s">
        <v>722</v>
      </c>
      <c r="D228" s="1" t="s">
        <v>110</v>
      </c>
      <c r="E228" s="1" t="s">
        <v>5</v>
      </c>
      <c r="F228" s="1">
        <v>1</v>
      </c>
    </row>
    <row r="229" spans="1:6" x14ac:dyDescent="0.2">
      <c r="A229" s="1" t="s">
        <v>723</v>
      </c>
      <c r="B229" s="1" t="s">
        <v>724</v>
      </c>
      <c r="D229" s="1" t="s">
        <v>122</v>
      </c>
      <c r="E229" s="1" t="s">
        <v>5</v>
      </c>
      <c r="F229" s="1">
        <v>1</v>
      </c>
    </row>
    <row r="230" spans="1:6" x14ac:dyDescent="0.2">
      <c r="A230" s="1" t="s">
        <v>725</v>
      </c>
      <c r="B230" s="1" t="s">
        <v>726</v>
      </c>
      <c r="D230" s="1" t="s">
        <v>111</v>
      </c>
      <c r="E230" s="1" t="s">
        <v>5</v>
      </c>
      <c r="F230" s="1">
        <v>1</v>
      </c>
    </row>
    <row r="231" spans="1:6" x14ac:dyDescent="0.2">
      <c r="A231" s="1" t="s">
        <v>727</v>
      </c>
      <c r="B231" s="1" t="s">
        <v>58</v>
      </c>
      <c r="D231" s="1" t="s">
        <v>58</v>
      </c>
      <c r="E231" s="1" t="s">
        <v>5</v>
      </c>
      <c r="F231" s="1">
        <v>1</v>
      </c>
    </row>
    <row r="232" spans="1:6" x14ac:dyDescent="0.2">
      <c r="A232" s="1" t="s">
        <v>728</v>
      </c>
      <c r="B232" s="1" t="s">
        <v>729</v>
      </c>
      <c r="D232" s="1" t="s">
        <v>132</v>
      </c>
      <c r="E232" s="1" t="s">
        <v>5</v>
      </c>
      <c r="F232" s="1">
        <v>1</v>
      </c>
    </row>
    <row r="233" spans="1:6" x14ac:dyDescent="0.2">
      <c r="A233" s="1" t="s">
        <v>730</v>
      </c>
      <c r="B233" s="1" t="s">
        <v>731</v>
      </c>
      <c r="D233" s="1" t="s">
        <v>56</v>
      </c>
      <c r="E233" s="1" t="s">
        <v>5</v>
      </c>
      <c r="F233" s="1">
        <v>1</v>
      </c>
    </row>
    <row r="234" spans="1:6" x14ac:dyDescent="0.2">
      <c r="A234" s="1" t="s">
        <v>732</v>
      </c>
      <c r="B234" s="1" t="s">
        <v>733</v>
      </c>
      <c r="D234" s="1" t="s">
        <v>57</v>
      </c>
      <c r="E234" s="1" t="s">
        <v>5</v>
      </c>
      <c r="F234" s="1">
        <v>1</v>
      </c>
    </row>
    <row r="235" spans="1:6" x14ac:dyDescent="0.2">
      <c r="A235" s="1" t="s">
        <v>734</v>
      </c>
      <c r="B235" s="1" t="s">
        <v>735</v>
      </c>
      <c r="D235" s="1" t="s">
        <v>67</v>
      </c>
      <c r="E235" s="1" t="s">
        <v>5</v>
      </c>
      <c r="F235" s="1">
        <v>1</v>
      </c>
    </row>
    <row r="236" spans="1:6" x14ac:dyDescent="0.2">
      <c r="A236" s="1" t="s">
        <v>736</v>
      </c>
      <c r="B236" s="1" t="s">
        <v>737</v>
      </c>
      <c r="D236" s="1" t="s">
        <v>68</v>
      </c>
      <c r="E236" s="1" t="s">
        <v>5</v>
      </c>
      <c r="F236" s="1">
        <v>1</v>
      </c>
    </row>
    <row r="237" spans="1:6" x14ac:dyDescent="0.2">
      <c r="A237" s="1" t="s">
        <v>738</v>
      </c>
      <c r="B237" s="1" t="s">
        <v>739</v>
      </c>
      <c r="D237" s="1" t="s">
        <v>69</v>
      </c>
      <c r="E237" s="1" t="s">
        <v>5</v>
      </c>
      <c r="F237" s="1">
        <v>1</v>
      </c>
    </row>
    <row r="238" spans="1:6" x14ac:dyDescent="0.2">
      <c r="A238" s="1" t="s">
        <v>740</v>
      </c>
      <c r="B238" s="1" t="s">
        <v>741</v>
      </c>
      <c r="D238" s="1" t="s">
        <v>85</v>
      </c>
      <c r="E238" s="1" t="s">
        <v>5</v>
      </c>
      <c r="F238" s="1">
        <v>1</v>
      </c>
    </row>
    <row r="239" spans="1:6" x14ac:dyDescent="0.2">
      <c r="A239" s="1" t="s">
        <v>742</v>
      </c>
      <c r="B239" s="1" t="s">
        <v>743</v>
      </c>
      <c r="D239" s="1" t="s">
        <v>93</v>
      </c>
      <c r="E239" s="1" t="s">
        <v>5</v>
      </c>
      <c r="F239" s="1">
        <v>1</v>
      </c>
    </row>
    <row r="240" spans="1:6" x14ac:dyDescent="0.2">
      <c r="A240" s="1" t="s">
        <v>744</v>
      </c>
      <c r="B240" s="1" t="s">
        <v>745</v>
      </c>
      <c r="D240" s="1" t="s">
        <v>94</v>
      </c>
      <c r="E240" s="1" t="s">
        <v>5</v>
      </c>
      <c r="F240" s="1">
        <v>1</v>
      </c>
    </row>
    <row r="241" spans="1:6" x14ac:dyDescent="0.2">
      <c r="A241" s="1" t="s">
        <v>746</v>
      </c>
      <c r="B241" s="1" t="s">
        <v>747</v>
      </c>
      <c r="D241" s="1" t="s">
        <v>76</v>
      </c>
      <c r="E241" s="1" t="s">
        <v>5</v>
      </c>
      <c r="F241" s="1">
        <v>1</v>
      </c>
    </row>
    <row r="242" spans="1:6" x14ac:dyDescent="0.2">
      <c r="A242" s="1" t="s">
        <v>748</v>
      </c>
      <c r="B242" s="1" t="s">
        <v>749</v>
      </c>
      <c r="D242" s="1" t="s">
        <v>89</v>
      </c>
      <c r="E242" s="1" t="s">
        <v>5</v>
      </c>
      <c r="F242" s="1">
        <v>1</v>
      </c>
    </row>
    <row r="243" spans="1:6" x14ac:dyDescent="0.2">
      <c r="A243" s="1" t="s">
        <v>750</v>
      </c>
      <c r="B243" s="1" t="s">
        <v>751</v>
      </c>
      <c r="D243" s="1" t="s">
        <v>77</v>
      </c>
      <c r="E243" s="1" t="s">
        <v>5</v>
      </c>
      <c r="F243" s="1">
        <v>1</v>
      </c>
    </row>
    <row r="244" spans="1:6" x14ac:dyDescent="0.2">
      <c r="A244" s="1" t="s">
        <v>752</v>
      </c>
      <c r="B244" s="1" t="s">
        <v>753</v>
      </c>
      <c r="D244" s="1" t="s">
        <v>81</v>
      </c>
      <c r="E244" s="1" t="s">
        <v>5</v>
      </c>
      <c r="F244" s="1">
        <v>1</v>
      </c>
    </row>
    <row r="245" spans="1:6" x14ac:dyDescent="0.2">
      <c r="A245" s="1" t="s">
        <v>754</v>
      </c>
      <c r="B245" s="1" t="s">
        <v>755</v>
      </c>
      <c r="D245" s="1" t="s">
        <v>70</v>
      </c>
      <c r="E245" s="1" t="s">
        <v>5</v>
      </c>
      <c r="F245" s="1">
        <v>1</v>
      </c>
    </row>
    <row r="246" spans="1:6" x14ac:dyDescent="0.2">
      <c r="A246" s="1" t="s">
        <v>756</v>
      </c>
      <c r="B246" s="1" t="s">
        <v>757</v>
      </c>
      <c r="D246" s="1" t="s">
        <v>74</v>
      </c>
      <c r="E246" s="1" t="s">
        <v>5</v>
      </c>
      <c r="F246" s="1">
        <v>1</v>
      </c>
    </row>
    <row r="247" spans="1:6" x14ac:dyDescent="0.2">
      <c r="A247" s="1" t="s">
        <v>758</v>
      </c>
      <c r="B247" s="1" t="s">
        <v>759</v>
      </c>
      <c r="D247" s="1" t="s">
        <v>86</v>
      </c>
      <c r="E247" s="1" t="s">
        <v>5</v>
      </c>
      <c r="F247" s="1">
        <v>1</v>
      </c>
    </row>
    <row r="248" spans="1:6" x14ac:dyDescent="0.2">
      <c r="A248" s="1" t="s">
        <v>760</v>
      </c>
      <c r="B248" s="1" t="s">
        <v>761</v>
      </c>
      <c r="D248" s="1" t="s">
        <v>87</v>
      </c>
      <c r="E248" s="1" t="s">
        <v>5</v>
      </c>
      <c r="F248" s="1">
        <v>1</v>
      </c>
    </row>
    <row r="249" spans="1:6" x14ac:dyDescent="0.2">
      <c r="A249" s="1" t="s">
        <v>762</v>
      </c>
      <c r="B249" s="1" t="s">
        <v>763</v>
      </c>
      <c r="D249" s="1" t="s">
        <v>90</v>
      </c>
      <c r="E249" s="1" t="s">
        <v>5</v>
      </c>
      <c r="F249" s="1">
        <v>1</v>
      </c>
    </row>
    <row r="250" spans="1:6" x14ac:dyDescent="0.2">
      <c r="A250" s="1" t="s">
        <v>764</v>
      </c>
      <c r="B250" s="1" t="s">
        <v>765</v>
      </c>
      <c r="D250" s="1" t="s">
        <v>72</v>
      </c>
      <c r="E250" s="1" t="s">
        <v>5</v>
      </c>
      <c r="F250" s="1">
        <v>1</v>
      </c>
    </row>
    <row r="251" spans="1:6" x14ac:dyDescent="0.2">
      <c r="A251" s="1" t="s">
        <v>766</v>
      </c>
      <c r="B251" s="1" t="s">
        <v>767</v>
      </c>
      <c r="D251" s="1" t="s">
        <v>75</v>
      </c>
      <c r="E251" s="1" t="s">
        <v>5</v>
      </c>
      <c r="F251" s="1">
        <v>1</v>
      </c>
    </row>
    <row r="252" spans="1:6" x14ac:dyDescent="0.2">
      <c r="A252" s="1" t="s">
        <v>768</v>
      </c>
      <c r="B252" s="1" t="s">
        <v>769</v>
      </c>
      <c r="D252" s="1" t="s">
        <v>82</v>
      </c>
      <c r="E252" s="1" t="s">
        <v>5</v>
      </c>
      <c r="F252" s="1">
        <v>1</v>
      </c>
    </row>
    <row r="253" spans="1:6" x14ac:dyDescent="0.2">
      <c r="A253" s="1" t="s">
        <v>770</v>
      </c>
      <c r="B253" s="1" t="s">
        <v>771</v>
      </c>
      <c r="D253" s="1" t="s">
        <v>71</v>
      </c>
      <c r="E253" s="1" t="s">
        <v>5</v>
      </c>
      <c r="F253" s="1">
        <v>1</v>
      </c>
    </row>
    <row r="254" spans="1:6" x14ac:dyDescent="0.2">
      <c r="A254" s="1" t="s">
        <v>772</v>
      </c>
      <c r="B254" s="1" t="s">
        <v>773</v>
      </c>
      <c r="D254" s="1" t="s">
        <v>88</v>
      </c>
      <c r="E254" s="1" t="s">
        <v>5</v>
      </c>
      <c r="F254" s="1">
        <v>1</v>
      </c>
    </row>
    <row r="255" spans="1:6" x14ac:dyDescent="0.2">
      <c r="A255" s="1" t="s">
        <v>774</v>
      </c>
      <c r="B255" s="1" t="s">
        <v>775</v>
      </c>
      <c r="D255" s="1" t="s">
        <v>95</v>
      </c>
      <c r="E255" s="1" t="s">
        <v>5</v>
      </c>
      <c r="F255" s="1">
        <v>1</v>
      </c>
    </row>
    <row r="256" spans="1:6" x14ac:dyDescent="0.2">
      <c r="A256" s="1" t="s">
        <v>776</v>
      </c>
      <c r="B256" s="1" t="s">
        <v>777</v>
      </c>
      <c r="D256" s="1" t="s">
        <v>78</v>
      </c>
      <c r="E256" s="1" t="s">
        <v>5</v>
      </c>
      <c r="F256" s="1">
        <v>1</v>
      </c>
    </row>
    <row r="257" spans="1:6" x14ac:dyDescent="0.2">
      <c r="A257" s="1" t="s">
        <v>778</v>
      </c>
      <c r="B257" s="1" t="s">
        <v>779</v>
      </c>
      <c r="D257" s="1" t="s">
        <v>91</v>
      </c>
      <c r="E257" s="1" t="s">
        <v>5</v>
      </c>
      <c r="F257" s="1">
        <v>1</v>
      </c>
    </row>
    <row r="258" spans="1:6" x14ac:dyDescent="0.2">
      <c r="A258" s="1" t="s">
        <v>780</v>
      </c>
      <c r="B258" s="1" t="s">
        <v>781</v>
      </c>
      <c r="D258" s="1" t="s">
        <v>79</v>
      </c>
      <c r="E258" s="1" t="s">
        <v>5</v>
      </c>
      <c r="F258" s="1">
        <v>1</v>
      </c>
    </row>
    <row r="259" spans="1:6" x14ac:dyDescent="0.2">
      <c r="A259" s="1" t="s">
        <v>782</v>
      </c>
      <c r="B259" s="1" t="s">
        <v>783</v>
      </c>
      <c r="D259" s="1" t="s">
        <v>83</v>
      </c>
      <c r="E259" s="1" t="s">
        <v>5</v>
      </c>
      <c r="F259" s="1">
        <v>1</v>
      </c>
    </row>
    <row r="260" spans="1:6" x14ac:dyDescent="0.2">
      <c r="A260" s="1" t="s">
        <v>784</v>
      </c>
      <c r="B260" s="1" t="s">
        <v>785</v>
      </c>
      <c r="D260" s="1" t="s">
        <v>73</v>
      </c>
      <c r="E260" s="1" t="s">
        <v>5</v>
      </c>
      <c r="F260" s="1">
        <v>1</v>
      </c>
    </row>
    <row r="261" spans="1:6" x14ac:dyDescent="0.2">
      <c r="A261" s="1" t="s">
        <v>786</v>
      </c>
      <c r="B261" s="1" t="s">
        <v>787</v>
      </c>
      <c r="D261" s="1" t="s">
        <v>92</v>
      </c>
      <c r="E261" s="1" t="s">
        <v>5</v>
      </c>
      <c r="F261" s="1">
        <v>1</v>
      </c>
    </row>
    <row r="262" spans="1:6" x14ac:dyDescent="0.2">
      <c r="A262" s="1" t="s">
        <v>788</v>
      </c>
      <c r="B262" s="1" t="s">
        <v>789</v>
      </c>
      <c r="D262" s="1" t="s">
        <v>80</v>
      </c>
      <c r="E262" s="1" t="s">
        <v>5</v>
      </c>
      <c r="F262" s="1">
        <v>1</v>
      </c>
    </row>
    <row r="263" spans="1:6" x14ac:dyDescent="0.2">
      <c r="A263" s="1" t="s">
        <v>790</v>
      </c>
      <c r="B263" s="1" t="s">
        <v>791</v>
      </c>
      <c r="D263" s="1" t="s">
        <v>84</v>
      </c>
      <c r="E263" s="1" t="s">
        <v>5</v>
      </c>
      <c r="F263" s="1">
        <v>1</v>
      </c>
    </row>
    <row r="264" spans="1:6" x14ac:dyDescent="0.2">
      <c r="A264" s="1" t="s">
        <v>792</v>
      </c>
      <c r="B264" s="1" t="s">
        <v>793</v>
      </c>
      <c r="D264" s="1" t="s">
        <v>33</v>
      </c>
      <c r="E264" s="1" t="s">
        <v>5</v>
      </c>
      <c r="F264" s="1">
        <v>1</v>
      </c>
    </row>
    <row r="265" spans="1:6" x14ac:dyDescent="0.2">
      <c r="A265" s="1" t="s">
        <v>794</v>
      </c>
      <c r="B265" s="1" t="s">
        <v>795</v>
      </c>
      <c r="D265" s="1" t="s">
        <v>134</v>
      </c>
      <c r="E265" s="1" t="s">
        <v>5</v>
      </c>
      <c r="F265" s="1">
        <v>1</v>
      </c>
    </row>
    <row r="266" spans="1:6" x14ac:dyDescent="0.2">
      <c r="A266" s="1" t="s">
        <v>796</v>
      </c>
      <c r="B266" s="1" t="s">
        <v>146</v>
      </c>
      <c r="D266" s="1" t="s">
        <v>146</v>
      </c>
      <c r="E266" s="1" t="s">
        <v>5</v>
      </c>
      <c r="F266" s="1">
        <v>1</v>
      </c>
    </row>
    <row r="267" spans="1:6" x14ac:dyDescent="0.2">
      <c r="A267" s="1" t="s">
        <v>342</v>
      </c>
      <c r="B267" s="1" t="s">
        <v>797</v>
      </c>
      <c r="D267" s="1" t="s">
        <v>51</v>
      </c>
      <c r="E267" s="1" t="s">
        <v>5</v>
      </c>
      <c r="F267" s="1">
        <v>1</v>
      </c>
    </row>
    <row r="268" spans="1:6" x14ac:dyDescent="0.2">
      <c r="A268" s="1" t="s">
        <v>798</v>
      </c>
      <c r="B268" s="1" t="s">
        <v>674</v>
      </c>
      <c r="D268" s="1" t="s">
        <v>152</v>
      </c>
      <c r="E268" s="1" t="s">
        <v>5</v>
      </c>
      <c r="F268" s="1">
        <v>1</v>
      </c>
    </row>
    <row r="269" spans="1:6" x14ac:dyDescent="0.2">
      <c r="A269" s="1" t="s">
        <v>228</v>
      </c>
      <c r="B269" s="1" t="s">
        <v>799</v>
      </c>
      <c r="D269" s="1" t="s">
        <v>39</v>
      </c>
      <c r="E269" s="1" t="s">
        <v>5</v>
      </c>
      <c r="F269" s="1">
        <v>1</v>
      </c>
    </row>
    <row r="270" spans="1:6" x14ac:dyDescent="0.2">
      <c r="A270" s="1" t="s">
        <v>800</v>
      </c>
      <c r="B270" s="1" t="s">
        <v>801</v>
      </c>
      <c r="D270" s="1" t="s">
        <v>113</v>
      </c>
      <c r="E270" s="1" t="s">
        <v>5</v>
      </c>
      <c r="F270" s="1">
        <v>1</v>
      </c>
    </row>
    <row r="271" spans="1:6" x14ac:dyDescent="0.2">
      <c r="A271" s="1" t="s">
        <v>802</v>
      </c>
      <c r="B271" s="1" t="s">
        <v>803</v>
      </c>
      <c r="D271" s="1" t="s">
        <v>25</v>
      </c>
      <c r="E271" s="1" t="s">
        <v>5</v>
      </c>
      <c r="F271" s="1">
        <v>1</v>
      </c>
    </row>
    <row r="272" spans="1:6" x14ac:dyDescent="0.2">
      <c r="A272" s="1" t="s">
        <v>804</v>
      </c>
      <c r="B272" s="1" t="s">
        <v>804</v>
      </c>
      <c r="D272" s="1" t="s">
        <v>35</v>
      </c>
      <c r="E272" s="1" t="s">
        <v>5</v>
      </c>
      <c r="F272" s="1">
        <v>1</v>
      </c>
    </row>
    <row r="273" spans="1:6" x14ac:dyDescent="0.2">
      <c r="A273" s="1" t="s">
        <v>805</v>
      </c>
      <c r="B273" s="1" t="s">
        <v>806</v>
      </c>
      <c r="D273" s="1" t="s">
        <v>34</v>
      </c>
      <c r="E273" s="1" t="s">
        <v>5</v>
      </c>
      <c r="F273" s="1">
        <v>1</v>
      </c>
    </row>
    <row r="274" spans="1:6" x14ac:dyDescent="0.2">
      <c r="A274" s="1" t="s">
        <v>427</v>
      </c>
      <c r="B274" s="1" t="s">
        <v>807</v>
      </c>
      <c r="D274" s="1" t="s">
        <v>32</v>
      </c>
      <c r="E274" s="1" t="s">
        <v>5</v>
      </c>
      <c r="F274" s="1">
        <v>1</v>
      </c>
    </row>
    <row r="275" spans="1:6" x14ac:dyDescent="0.2">
      <c r="A275" s="1" t="s">
        <v>808</v>
      </c>
      <c r="B275" s="1" t="s">
        <v>809</v>
      </c>
      <c r="D275" s="1" t="s">
        <v>60</v>
      </c>
      <c r="E275" s="1" t="s">
        <v>5</v>
      </c>
      <c r="F275" s="1">
        <v>1</v>
      </c>
    </row>
    <row r="276" spans="1:6" x14ac:dyDescent="0.2">
      <c r="A276" s="1" t="s">
        <v>810</v>
      </c>
      <c r="B276" s="1" t="s">
        <v>811</v>
      </c>
      <c r="D276" s="1" t="s">
        <v>61</v>
      </c>
      <c r="E276" s="1" t="s">
        <v>5</v>
      </c>
      <c r="F276" s="1">
        <v>1</v>
      </c>
    </row>
    <row r="277" spans="1:6" x14ac:dyDescent="0.2">
      <c r="A277" s="1" t="s">
        <v>812</v>
      </c>
      <c r="B277" s="1" t="s">
        <v>130</v>
      </c>
      <c r="D277" s="1" t="s">
        <v>130</v>
      </c>
      <c r="E277" s="1" t="s">
        <v>5</v>
      </c>
      <c r="F277" s="1">
        <v>1</v>
      </c>
    </row>
    <row r="278" spans="1:6" x14ac:dyDescent="0.2">
      <c r="A278" s="1" t="s">
        <v>813</v>
      </c>
      <c r="B278" s="1" t="s">
        <v>126</v>
      </c>
      <c r="D278" s="1" t="s">
        <v>126</v>
      </c>
      <c r="E278" s="1" t="s">
        <v>5</v>
      </c>
      <c r="F278" s="1">
        <v>1</v>
      </c>
    </row>
    <row r="279" spans="1:6" x14ac:dyDescent="0.2">
      <c r="A279" s="1" t="s">
        <v>814</v>
      </c>
      <c r="B279" s="1" t="s">
        <v>815</v>
      </c>
      <c r="D279" s="1" t="s">
        <v>62</v>
      </c>
      <c r="E279" s="1" t="s">
        <v>5</v>
      </c>
      <c r="F279" s="1">
        <v>1</v>
      </c>
    </row>
    <row r="280" spans="1:6" x14ac:dyDescent="0.2">
      <c r="A280" s="1" t="s">
        <v>816</v>
      </c>
      <c r="B280" s="1" t="s">
        <v>137</v>
      </c>
      <c r="D280" s="1" t="s">
        <v>137</v>
      </c>
      <c r="E280" s="1" t="s">
        <v>5</v>
      </c>
      <c r="F280" s="1">
        <v>1</v>
      </c>
    </row>
    <row r="281" spans="1:6" x14ac:dyDescent="0.2">
      <c r="A281" s="1" t="s">
        <v>239</v>
      </c>
      <c r="B281" s="1" t="s">
        <v>817</v>
      </c>
      <c r="D281" s="1" t="s">
        <v>52</v>
      </c>
      <c r="E281" s="1" t="s">
        <v>5</v>
      </c>
      <c r="F281" s="1">
        <v>1</v>
      </c>
    </row>
    <row r="282" spans="1:6" x14ac:dyDescent="0.2">
      <c r="A282" s="1" t="s">
        <v>818</v>
      </c>
      <c r="B282" s="1" t="s">
        <v>819</v>
      </c>
      <c r="D282" s="1" t="s">
        <v>121</v>
      </c>
      <c r="E282" s="1" t="s">
        <v>5</v>
      </c>
      <c r="F282" s="1">
        <v>1</v>
      </c>
    </row>
    <row r="283" spans="1:6" x14ac:dyDescent="0.2">
      <c r="A283" s="1" t="s">
        <v>217</v>
      </c>
      <c r="B283" s="1" t="s">
        <v>820</v>
      </c>
      <c r="D283" s="1" t="s">
        <v>46</v>
      </c>
      <c r="E283" s="1" t="s">
        <v>5</v>
      </c>
      <c r="F283" s="1">
        <v>1</v>
      </c>
    </row>
    <row r="284" spans="1:6" x14ac:dyDescent="0.2">
      <c r="A284" s="1" t="s">
        <v>821</v>
      </c>
      <c r="B284" s="1" t="s">
        <v>822</v>
      </c>
      <c r="D284" s="1" t="s">
        <v>115</v>
      </c>
      <c r="E284" s="1" t="s">
        <v>5</v>
      </c>
      <c r="F284" s="1">
        <v>1</v>
      </c>
    </row>
    <row r="285" spans="1:6" x14ac:dyDescent="0.2">
      <c r="A285" s="1" t="s">
        <v>222</v>
      </c>
      <c r="B285" s="1" t="s">
        <v>823</v>
      </c>
      <c r="D285" s="1" t="s">
        <v>36</v>
      </c>
      <c r="E285" s="1" t="s">
        <v>5</v>
      </c>
      <c r="F285" s="1">
        <v>1</v>
      </c>
    </row>
    <row r="286" spans="1:6" x14ac:dyDescent="0.2">
      <c r="A286" s="1" t="s">
        <v>233</v>
      </c>
      <c r="B286" s="1" t="s">
        <v>824</v>
      </c>
      <c r="D286" s="1" t="s">
        <v>42</v>
      </c>
      <c r="E286" s="1" t="s">
        <v>5</v>
      </c>
      <c r="F286" s="1">
        <v>1</v>
      </c>
    </row>
    <row r="287" spans="1:6" x14ac:dyDescent="0.2">
      <c r="A287" s="1" t="s">
        <v>825</v>
      </c>
      <c r="B287" s="1" t="s">
        <v>826</v>
      </c>
      <c r="D287" s="1" t="s">
        <v>133</v>
      </c>
      <c r="E287" s="1" t="s">
        <v>5</v>
      </c>
      <c r="F287" s="1">
        <v>1</v>
      </c>
    </row>
    <row r="288" spans="1:6" x14ac:dyDescent="0.2">
      <c r="A288" s="1" t="s">
        <v>827</v>
      </c>
      <c r="B288" s="1" t="s">
        <v>828</v>
      </c>
      <c r="D288" s="1" t="s">
        <v>55</v>
      </c>
      <c r="E288" s="1" t="s">
        <v>5</v>
      </c>
      <c r="F288" s="1">
        <v>1</v>
      </c>
    </row>
    <row r="289" spans="1:6" x14ac:dyDescent="0.2">
      <c r="A289" s="1" t="s">
        <v>280</v>
      </c>
      <c r="B289" s="1" t="s">
        <v>829</v>
      </c>
      <c r="D289" s="1" t="s">
        <v>43</v>
      </c>
      <c r="E289" s="1" t="s">
        <v>5</v>
      </c>
      <c r="F289" s="1">
        <v>1</v>
      </c>
    </row>
    <row r="290" spans="1:6" x14ac:dyDescent="0.2">
      <c r="A290" s="1" t="s">
        <v>830</v>
      </c>
      <c r="B290" s="1" t="s">
        <v>831</v>
      </c>
      <c r="D290" s="1" t="s">
        <v>99</v>
      </c>
      <c r="E290" s="1" t="s">
        <v>5</v>
      </c>
      <c r="F290" s="1">
        <v>1</v>
      </c>
    </row>
    <row r="291" spans="1:6" x14ac:dyDescent="0.2">
      <c r="A291" s="1" t="s">
        <v>832</v>
      </c>
      <c r="B291" s="1" t="s">
        <v>833</v>
      </c>
      <c r="D291" s="1" t="s">
        <v>116</v>
      </c>
      <c r="E291" s="1" t="s">
        <v>5</v>
      </c>
      <c r="F291" s="1">
        <v>1</v>
      </c>
    </row>
    <row r="292" spans="1:6" x14ac:dyDescent="0.2">
      <c r="A292" s="1" t="s">
        <v>834</v>
      </c>
      <c r="B292" s="1" t="s">
        <v>835</v>
      </c>
      <c r="D292" s="1" t="s">
        <v>108</v>
      </c>
      <c r="E292" s="1" t="s">
        <v>5</v>
      </c>
      <c r="F292" s="1">
        <v>1</v>
      </c>
    </row>
    <row r="293" spans="1:6" x14ac:dyDescent="0.2">
      <c r="A293" s="1" t="s">
        <v>836</v>
      </c>
      <c r="B293" s="1" t="s">
        <v>837</v>
      </c>
      <c r="D293" s="1" t="s">
        <v>109</v>
      </c>
      <c r="E293" s="1" t="s">
        <v>5</v>
      </c>
      <c r="F293" s="1">
        <v>1</v>
      </c>
    </row>
    <row r="294" spans="1:6" x14ac:dyDescent="0.2">
      <c r="A294" s="1" t="s">
        <v>264</v>
      </c>
      <c r="B294" s="1" t="s">
        <v>838</v>
      </c>
      <c r="D294" s="1" t="s">
        <v>48</v>
      </c>
      <c r="E294" s="1" t="s">
        <v>5</v>
      </c>
      <c r="F294" s="1">
        <v>1</v>
      </c>
    </row>
    <row r="295" spans="1:6" x14ac:dyDescent="0.2">
      <c r="A295" s="1" t="s">
        <v>839</v>
      </c>
      <c r="B295" s="1" t="s">
        <v>839</v>
      </c>
      <c r="D295" s="1" t="s">
        <v>21</v>
      </c>
      <c r="E295" s="1" t="s">
        <v>5</v>
      </c>
      <c r="F295" s="1">
        <v>1</v>
      </c>
    </row>
    <row r="296" spans="1:6" x14ac:dyDescent="0.2">
      <c r="A296" s="1" t="s">
        <v>840</v>
      </c>
      <c r="B296" s="1" t="s">
        <v>841</v>
      </c>
      <c r="D296" s="1" t="s">
        <v>118</v>
      </c>
      <c r="E296" s="1" t="s">
        <v>5</v>
      </c>
      <c r="F296" s="1">
        <v>1</v>
      </c>
    </row>
    <row r="297" spans="1:6" x14ac:dyDescent="0.2">
      <c r="A297" s="1" t="s">
        <v>842</v>
      </c>
      <c r="D297" s="1" t="s">
        <v>153</v>
      </c>
      <c r="E297" s="1" t="s">
        <v>5</v>
      </c>
      <c r="F297" s="1">
        <v>1</v>
      </c>
    </row>
    <row r="298" spans="1:6" x14ac:dyDescent="0.2">
      <c r="A298" s="1" t="s">
        <v>843</v>
      </c>
      <c r="D298" s="1" t="s">
        <v>154</v>
      </c>
      <c r="E298" s="1" t="s">
        <v>5</v>
      </c>
      <c r="F298" s="1">
        <v>1</v>
      </c>
    </row>
    <row r="299" spans="1:6" x14ac:dyDescent="0.2">
      <c r="A299" s="1" t="s">
        <v>844</v>
      </c>
      <c r="D299" s="1" t="s">
        <v>155</v>
      </c>
      <c r="E299" s="1" t="s">
        <v>5</v>
      </c>
      <c r="F299" s="1">
        <v>1</v>
      </c>
    </row>
    <row r="300" spans="1:6" x14ac:dyDescent="0.2">
      <c r="A300" s="1" t="s">
        <v>845</v>
      </c>
      <c r="D300" s="1" t="s">
        <v>156</v>
      </c>
      <c r="E300" s="1" t="s">
        <v>5</v>
      </c>
      <c r="F300" s="1">
        <v>1</v>
      </c>
    </row>
    <row r="301" spans="1:6" x14ac:dyDescent="0.2">
      <c r="A301" s="1" t="s">
        <v>846</v>
      </c>
      <c r="D301" s="1" t="s">
        <v>157</v>
      </c>
      <c r="E301" s="1" t="s">
        <v>5</v>
      </c>
      <c r="F301" s="1">
        <v>1</v>
      </c>
    </row>
    <row r="302" spans="1:6" x14ac:dyDescent="0.2">
      <c r="A302" s="1" t="s">
        <v>847</v>
      </c>
      <c r="D302" s="1" t="s">
        <v>158</v>
      </c>
      <c r="E302" s="1" t="s">
        <v>5</v>
      </c>
      <c r="F302" s="1">
        <v>1</v>
      </c>
    </row>
    <row r="303" spans="1:6" x14ac:dyDescent="0.2">
      <c r="A303" s="1" t="s">
        <v>848</v>
      </c>
      <c r="D303" s="1" t="s">
        <v>167</v>
      </c>
      <c r="E303" s="1" t="s">
        <v>5</v>
      </c>
      <c r="F303" s="1">
        <v>1</v>
      </c>
    </row>
    <row r="304" spans="1:6" x14ac:dyDescent="0.2">
      <c r="A304" s="1" t="s">
        <v>849</v>
      </c>
      <c r="D304" s="1" t="s">
        <v>168</v>
      </c>
      <c r="E304" s="1" t="s">
        <v>5</v>
      </c>
      <c r="F304" s="1">
        <v>1</v>
      </c>
    </row>
    <row r="305" spans="1:215" x14ac:dyDescent="0.2">
      <c r="A305" s="1" t="s">
        <v>850</v>
      </c>
      <c r="D305" s="1" t="s">
        <v>169</v>
      </c>
      <c r="E305" s="1" t="s">
        <v>5</v>
      </c>
      <c r="F305" s="1">
        <v>1</v>
      </c>
    </row>
    <row r="306" spans="1:215" x14ac:dyDescent="0.2">
      <c r="A306" s="1" t="s">
        <v>851</v>
      </c>
      <c r="D306" s="1" t="s">
        <v>143</v>
      </c>
      <c r="E306" s="1" t="s">
        <v>5</v>
      </c>
      <c r="F306" s="1">
        <v>1</v>
      </c>
    </row>
    <row r="307" spans="1:215" x14ac:dyDescent="0.2">
      <c r="A307" s="1" t="s">
        <v>852</v>
      </c>
      <c r="D307" s="1" t="s">
        <v>147</v>
      </c>
      <c r="E307" s="1" t="s">
        <v>5</v>
      </c>
      <c r="F307" s="1">
        <v>1</v>
      </c>
    </row>
    <row r="308" spans="1:215" s="6" customFormat="1" x14ac:dyDescent="0.2">
      <c r="A308" s="6" t="s">
        <v>853</v>
      </c>
      <c r="D308" s="6" t="s">
        <v>139</v>
      </c>
      <c r="E308" s="6" t="s">
        <v>5</v>
      </c>
      <c r="F308" s="6">
        <v>1</v>
      </c>
      <c r="GX308" s="1"/>
      <c r="GY308" s="1"/>
      <c r="GZ308" s="1"/>
      <c r="HA308" s="1"/>
      <c r="HB308" s="1"/>
      <c r="HC308" s="1"/>
      <c r="HD308" s="1"/>
      <c r="HE308" s="1"/>
      <c r="HF308" s="1"/>
      <c r="HG308" s="1"/>
    </row>
    <row r="309" spans="1:215" s="6" customFormat="1" x14ac:dyDescent="0.2">
      <c r="A309" s="6" t="s">
        <v>854</v>
      </c>
      <c r="D309" s="6" t="s">
        <v>145</v>
      </c>
      <c r="E309" s="6" t="s">
        <v>5</v>
      </c>
      <c r="F309" s="6">
        <v>1</v>
      </c>
      <c r="GX309" s="1"/>
      <c r="GY309" s="1"/>
      <c r="GZ309" s="1"/>
      <c r="HA309" s="1"/>
      <c r="HB309" s="1"/>
      <c r="HC309" s="1"/>
      <c r="HD309" s="1"/>
      <c r="HE309" s="1"/>
      <c r="HF309" s="1"/>
      <c r="HG309" s="1"/>
    </row>
    <row r="310" spans="1:215" s="6" customFormat="1" x14ac:dyDescent="0.2">
      <c r="A310" s="6" t="s">
        <v>855</v>
      </c>
      <c r="D310" s="6" t="s">
        <v>142</v>
      </c>
      <c r="E310" s="6" t="s">
        <v>5</v>
      </c>
      <c r="F310" s="6">
        <v>1</v>
      </c>
      <c r="GX310" s="1"/>
      <c r="GY310" s="1"/>
      <c r="GZ310" s="1"/>
      <c r="HA310" s="1"/>
      <c r="HB310" s="1"/>
      <c r="HC310" s="1"/>
      <c r="HD310" s="1"/>
      <c r="HE310" s="1"/>
      <c r="HF310" s="1"/>
      <c r="HG310" s="1"/>
    </row>
    <row r="311" spans="1:215" s="6" customFormat="1" x14ac:dyDescent="0.2">
      <c r="A311" s="6" t="s">
        <v>856</v>
      </c>
      <c r="D311" s="6" t="s">
        <v>138</v>
      </c>
      <c r="E311" s="6" t="s">
        <v>5</v>
      </c>
      <c r="F311" s="6">
        <v>1</v>
      </c>
      <c r="GX311" s="1"/>
      <c r="GY311" s="1"/>
      <c r="GZ311" s="1"/>
      <c r="HA311" s="1"/>
      <c r="HB311" s="1"/>
      <c r="HC311" s="1"/>
      <c r="HD311" s="1"/>
      <c r="HE311" s="1"/>
      <c r="HF311" s="1"/>
      <c r="HG311" s="1"/>
    </row>
    <row r="312" spans="1:215" s="6" customFormat="1" x14ac:dyDescent="0.2">
      <c r="A312" s="6" t="s">
        <v>857</v>
      </c>
      <c r="D312" s="6" t="s">
        <v>124</v>
      </c>
      <c r="E312" s="6" t="s">
        <v>5</v>
      </c>
      <c r="F312" s="6">
        <v>1</v>
      </c>
      <c r="GX312" s="1"/>
      <c r="GY312" s="1"/>
      <c r="GZ312" s="1"/>
      <c r="HA312" s="1"/>
      <c r="HB312" s="1"/>
      <c r="HC312" s="1"/>
      <c r="HD312" s="1"/>
      <c r="HE312" s="1"/>
      <c r="HF312" s="1"/>
      <c r="HG312" s="1"/>
    </row>
    <row r="313" spans="1:215" s="6" customFormat="1" x14ac:dyDescent="0.2">
      <c r="A313" s="6" t="s">
        <v>858</v>
      </c>
      <c r="D313" s="6" t="s">
        <v>140</v>
      </c>
      <c r="E313" s="6" t="s">
        <v>5</v>
      </c>
      <c r="F313" s="6">
        <v>1</v>
      </c>
      <c r="GX313" s="1"/>
      <c r="GY313" s="1"/>
      <c r="GZ313" s="1"/>
      <c r="HA313" s="1"/>
      <c r="HB313" s="1"/>
      <c r="HC313" s="1"/>
      <c r="HD313" s="1"/>
      <c r="HE313" s="1"/>
      <c r="HF313" s="1"/>
      <c r="HG313" s="1"/>
    </row>
    <row r="314" spans="1:215" s="6" customFormat="1" x14ac:dyDescent="0.2">
      <c r="A314" s="6" t="s">
        <v>859</v>
      </c>
      <c r="D314" s="6" t="s">
        <v>136</v>
      </c>
      <c r="E314" s="6" t="s">
        <v>5</v>
      </c>
      <c r="F314" s="6">
        <v>1</v>
      </c>
      <c r="GX314" s="1"/>
      <c r="GY314" s="1"/>
      <c r="GZ314" s="1"/>
      <c r="HA314" s="1"/>
      <c r="HB314" s="1"/>
      <c r="HC314" s="1"/>
      <c r="HD314" s="1"/>
      <c r="HE314" s="1"/>
      <c r="HF314" s="1"/>
      <c r="HG314" s="1"/>
    </row>
    <row r="315" spans="1:215" s="6" customFormat="1" x14ac:dyDescent="0.2">
      <c r="A315" s="6" t="s">
        <v>860</v>
      </c>
      <c r="D315" s="6" t="s">
        <v>141</v>
      </c>
      <c r="E315" s="6" t="s">
        <v>5</v>
      </c>
      <c r="F315" s="6">
        <v>1</v>
      </c>
      <c r="GX315" s="1"/>
      <c r="GY315" s="1"/>
      <c r="GZ315" s="1"/>
      <c r="HA315" s="1"/>
      <c r="HB315" s="1"/>
      <c r="HC315" s="1"/>
      <c r="HD315" s="1"/>
      <c r="HE315" s="1"/>
      <c r="HF315" s="1"/>
      <c r="HG315" s="1"/>
    </row>
    <row r="316" spans="1:215" s="6" customFormat="1" x14ac:dyDescent="0.2">
      <c r="A316" s="6" t="s">
        <v>861</v>
      </c>
      <c r="D316" s="6" t="s">
        <v>144</v>
      </c>
      <c r="E316" s="6" t="s">
        <v>5</v>
      </c>
      <c r="F316" s="6">
        <v>1</v>
      </c>
      <c r="GX316" s="1"/>
      <c r="GY316" s="1"/>
      <c r="GZ316" s="1"/>
      <c r="HA316" s="1"/>
      <c r="HB316" s="1"/>
      <c r="HC316" s="1"/>
      <c r="HD316" s="1"/>
      <c r="HE316" s="1"/>
      <c r="HF316" s="1"/>
      <c r="HG316" s="1"/>
    </row>
    <row r="317" spans="1:215" s="6" customFormat="1" x14ac:dyDescent="0.2">
      <c r="A317" s="6" t="s">
        <v>862</v>
      </c>
      <c r="D317" s="6" t="s">
        <v>148</v>
      </c>
      <c r="E317" s="6" t="s">
        <v>5</v>
      </c>
      <c r="F317" s="6">
        <v>1</v>
      </c>
      <c r="GX317" s="1"/>
      <c r="GY317" s="1"/>
      <c r="GZ317" s="1"/>
      <c r="HA317" s="1"/>
      <c r="HB317" s="1"/>
      <c r="HC317" s="1"/>
      <c r="HD317" s="1"/>
      <c r="HE317" s="1"/>
      <c r="HF317" s="1"/>
      <c r="HG317" s="1"/>
    </row>
    <row r="318" spans="1:215" s="6" customFormat="1" x14ac:dyDescent="0.2">
      <c r="A318" s="6" t="s">
        <v>863</v>
      </c>
      <c r="D318" s="6" t="s">
        <v>149</v>
      </c>
      <c r="E318" s="6" t="s">
        <v>5</v>
      </c>
      <c r="F318" s="6">
        <v>1</v>
      </c>
      <c r="GX318" s="1"/>
      <c r="GY318" s="1"/>
      <c r="GZ318" s="1"/>
      <c r="HA318" s="1"/>
      <c r="HB318" s="1"/>
      <c r="HC318" s="1"/>
      <c r="HD318" s="1"/>
      <c r="HE318" s="1"/>
      <c r="HF318" s="1"/>
      <c r="HG318" s="1"/>
    </row>
    <row r="319" spans="1:215" s="6" customFormat="1" x14ac:dyDescent="0.2">
      <c r="A319" s="6" t="s">
        <v>864</v>
      </c>
      <c r="D319" s="6" t="s">
        <v>150</v>
      </c>
      <c r="E319" s="6" t="s">
        <v>5</v>
      </c>
      <c r="F319" s="6">
        <v>1</v>
      </c>
      <c r="GX319" s="1"/>
      <c r="GY319" s="1"/>
      <c r="GZ319" s="1"/>
      <c r="HA319" s="1"/>
      <c r="HB319" s="1"/>
      <c r="HC319" s="1"/>
      <c r="HD319" s="1"/>
      <c r="HE319" s="1"/>
      <c r="HF319" s="1"/>
      <c r="HG319" s="1"/>
    </row>
    <row r="320" spans="1:215" s="6" customFormat="1" x14ac:dyDescent="0.2">
      <c r="A320" s="6" t="s">
        <v>865</v>
      </c>
      <c r="D320" s="6" t="s">
        <v>151</v>
      </c>
      <c r="E320" s="6" t="s">
        <v>5</v>
      </c>
      <c r="F320" s="6">
        <v>1</v>
      </c>
      <c r="GX320" s="1"/>
      <c r="GY320" s="1"/>
      <c r="GZ320" s="1"/>
      <c r="HA320" s="1"/>
      <c r="HB320" s="1"/>
      <c r="HC320" s="1"/>
      <c r="HD320" s="1"/>
      <c r="HE320" s="1"/>
      <c r="HF320" s="1"/>
      <c r="HG320" s="1"/>
    </row>
    <row r="321" spans="1:6" x14ac:dyDescent="0.2">
      <c r="A321" s="1" t="s">
        <v>866</v>
      </c>
      <c r="D321" s="1" t="s">
        <v>195</v>
      </c>
      <c r="E321" s="6" t="s">
        <v>5</v>
      </c>
      <c r="F321" s="6">
        <v>1</v>
      </c>
    </row>
    <row r="322" spans="1:6" x14ac:dyDescent="0.2">
      <c r="A322" s="1" t="s">
        <v>867</v>
      </c>
      <c r="D322" s="1" t="s">
        <v>65</v>
      </c>
      <c r="E322" s="6" t="s">
        <v>5</v>
      </c>
      <c r="F322" s="1">
        <v>1</v>
      </c>
    </row>
    <row r="323" spans="1:6" x14ac:dyDescent="0.2">
      <c r="A323" s="1" t="s">
        <v>868</v>
      </c>
      <c r="D323" s="1" t="s">
        <v>170</v>
      </c>
      <c r="E323" s="6" t="s">
        <v>5</v>
      </c>
      <c r="F323" s="1">
        <v>1</v>
      </c>
    </row>
    <row r="324" spans="1:6" x14ac:dyDescent="0.2">
      <c r="A324" s="7" t="s">
        <v>869</v>
      </c>
      <c r="D324" s="7" t="s">
        <v>162</v>
      </c>
      <c r="E324" s="6" t="s">
        <v>5</v>
      </c>
      <c r="F324" s="1">
        <v>1</v>
      </c>
    </row>
    <row r="325" spans="1:6" x14ac:dyDescent="0.2">
      <c r="A325" s="7" t="s">
        <v>870</v>
      </c>
      <c r="D325" s="7" t="s">
        <v>161</v>
      </c>
      <c r="E325" s="6" t="s">
        <v>5</v>
      </c>
      <c r="F325" s="1">
        <v>1</v>
      </c>
    </row>
    <row r="326" spans="1:6" x14ac:dyDescent="0.2">
      <c r="A326" s="7" t="s">
        <v>871</v>
      </c>
      <c r="D326" s="7" t="s">
        <v>160</v>
      </c>
      <c r="E326" s="6" t="s">
        <v>5</v>
      </c>
      <c r="F326" s="1">
        <v>1</v>
      </c>
    </row>
    <row r="327" spans="1:6" x14ac:dyDescent="0.2">
      <c r="A327" s="7" t="s">
        <v>872</v>
      </c>
      <c r="D327" s="7" t="s">
        <v>159</v>
      </c>
      <c r="E327" s="6" t="s">
        <v>5</v>
      </c>
      <c r="F327" s="1">
        <v>1</v>
      </c>
    </row>
    <row r="328" spans="1:6" x14ac:dyDescent="0.2">
      <c r="A328" s="7" t="s">
        <v>873</v>
      </c>
      <c r="D328" s="7" t="s">
        <v>163</v>
      </c>
      <c r="E328" s="6" t="s">
        <v>5</v>
      </c>
      <c r="F328" s="1">
        <v>1</v>
      </c>
    </row>
    <row r="329" spans="1:6" x14ac:dyDescent="0.2">
      <c r="A329" s="7" t="s">
        <v>874</v>
      </c>
      <c r="D329" s="7" t="s">
        <v>164</v>
      </c>
      <c r="E329" s="6" t="s">
        <v>5</v>
      </c>
      <c r="F329" s="1">
        <v>1</v>
      </c>
    </row>
    <row r="330" spans="1:6" x14ac:dyDescent="0.2">
      <c r="A330" s="7" t="s">
        <v>875</v>
      </c>
      <c r="D330" s="7" t="s">
        <v>165</v>
      </c>
      <c r="E330" s="6" t="s">
        <v>5</v>
      </c>
      <c r="F330" s="1">
        <v>1</v>
      </c>
    </row>
    <row r="331" spans="1:6" x14ac:dyDescent="0.2">
      <c r="A331" s="7" t="s">
        <v>876</v>
      </c>
      <c r="D331" s="7" t="s">
        <v>166</v>
      </c>
      <c r="E331" s="6" t="s">
        <v>5</v>
      </c>
      <c r="F331" s="1">
        <v>1</v>
      </c>
    </row>
    <row r="332" spans="1:6" x14ac:dyDescent="0.2">
      <c r="A332" s="7" t="s">
        <v>877</v>
      </c>
      <c r="D332" s="7" t="s">
        <v>171</v>
      </c>
      <c r="E332" s="6" t="s">
        <v>5</v>
      </c>
      <c r="F332" s="1">
        <v>1</v>
      </c>
    </row>
    <row r="333" spans="1:6" x14ac:dyDescent="0.2">
      <c r="A333" s="7" t="s">
        <v>878</v>
      </c>
      <c r="D333" s="7" t="s">
        <v>172</v>
      </c>
      <c r="E333" s="6" t="s">
        <v>5</v>
      </c>
      <c r="F333" s="1">
        <v>1</v>
      </c>
    </row>
    <row r="334" spans="1:6" x14ac:dyDescent="0.2">
      <c r="A334" s="7" t="s">
        <v>879</v>
      </c>
      <c r="D334" s="7" t="s">
        <v>173</v>
      </c>
      <c r="E334" s="6" t="s">
        <v>5</v>
      </c>
      <c r="F334" s="1">
        <v>1</v>
      </c>
    </row>
    <row r="335" spans="1:6" x14ac:dyDescent="0.2">
      <c r="A335" s="7" t="s">
        <v>880</v>
      </c>
      <c r="D335" s="7" t="s">
        <v>174</v>
      </c>
      <c r="E335" s="6" t="s">
        <v>5</v>
      </c>
      <c r="F335" s="1">
        <v>1</v>
      </c>
    </row>
    <row r="336" spans="1:6" x14ac:dyDescent="0.2">
      <c r="A336" s="7" t="s">
        <v>881</v>
      </c>
      <c r="D336" s="7" t="s">
        <v>175</v>
      </c>
      <c r="E336" s="6" t="s">
        <v>5</v>
      </c>
      <c r="F336" s="1">
        <v>1</v>
      </c>
    </row>
    <row r="337" spans="1:6" x14ac:dyDescent="0.2">
      <c r="A337" s="7" t="s">
        <v>882</v>
      </c>
      <c r="D337" s="7" t="s">
        <v>176</v>
      </c>
      <c r="E337" s="6" t="s">
        <v>5</v>
      </c>
      <c r="F337" s="1">
        <v>1</v>
      </c>
    </row>
    <row r="338" spans="1:6" x14ac:dyDescent="0.2">
      <c r="A338" s="7" t="s">
        <v>883</v>
      </c>
      <c r="D338" s="7" t="s">
        <v>177</v>
      </c>
      <c r="E338" s="6" t="s">
        <v>5</v>
      </c>
      <c r="F338" s="1">
        <v>1</v>
      </c>
    </row>
    <row r="339" spans="1:6" x14ac:dyDescent="0.2">
      <c r="A339" s="7" t="s">
        <v>884</v>
      </c>
      <c r="D339" s="7" t="s">
        <v>178</v>
      </c>
      <c r="E339" s="6" t="s">
        <v>5</v>
      </c>
      <c r="F339" s="1">
        <v>1</v>
      </c>
    </row>
    <row r="340" spans="1:6" x14ac:dyDescent="0.2">
      <c r="A340" s="7" t="s">
        <v>885</v>
      </c>
      <c r="D340" s="7" t="s">
        <v>179</v>
      </c>
      <c r="E340" s="6" t="s">
        <v>5</v>
      </c>
      <c r="F340" s="1">
        <v>1</v>
      </c>
    </row>
    <row r="341" spans="1:6" x14ac:dyDescent="0.2">
      <c r="A341" s="7" t="s">
        <v>886</v>
      </c>
      <c r="D341" s="7" t="s">
        <v>180</v>
      </c>
      <c r="E341" s="6" t="s">
        <v>5</v>
      </c>
      <c r="F341" s="1">
        <v>1</v>
      </c>
    </row>
    <row r="342" spans="1:6" x14ac:dyDescent="0.2">
      <c r="A342" s="7" t="s">
        <v>887</v>
      </c>
      <c r="D342" s="7" t="s">
        <v>181</v>
      </c>
      <c r="E342" s="6" t="s">
        <v>5</v>
      </c>
      <c r="F342" s="1">
        <v>1</v>
      </c>
    </row>
    <row r="343" spans="1:6" x14ac:dyDescent="0.2">
      <c r="A343" s="7" t="s">
        <v>888</v>
      </c>
      <c r="D343" s="7" t="s">
        <v>182</v>
      </c>
      <c r="E343" s="6" t="s">
        <v>5</v>
      </c>
      <c r="F343" s="1">
        <v>1</v>
      </c>
    </row>
    <row r="344" spans="1:6" x14ac:dyDescent="0.2">
      <c r="A344" s="7" t="s">
        <v>889</v>
      </c>
      <c r="D344" s="7" t="s">
        <v>183</v>
      </c>
      <c r="E344" s="1" t="s">
        <v>5</v>
      </c>
      <c r="F344" s="1">
        <v>1</v>
      </c>
    </row>
    <row r="345" spans="1:6" x14ac:dyDescent="0.2">
      <c r="A345" s="7" t="s">
        <v>890</v>
      </c>
      <c r="D345" s="7" t="s">
        <v>184</v>
      </c>
      <c r="E345" s="1" t="s">
        <v>5</v>
      </c>
      <c r="F345" s="1">
        <v>1</v>
      </c>
    </row>
    <row r="346" spans="1:6" x14ac:dyDescent="0.2">
      <c r="A346" s="7" t="s">
        <v>891</v>
      </c>
      <c r="D346" s="7" t="s">
        <v>185</v>
      </c>
      <c r="E346" s="1" t="s">
        <v>5</v>
      </c>
      <c r="F346" s="1">
        <v>1</v>
      </c>
    </row>
    <row r="347" spans="1:6" x14ac:dyDescent="0.2">
      <c r="A347" s="7" t="s">
        <v>892</v>
      </c>
      <c r="D347" s="7" t="s">
        <v>186</v>
      </c>
      <c r="E347" s="1" t="s">
        <v>5</v>
      </c>
      <c r="F347" s="1">
        <v>1</v>
      </c>
    </row>
    <row r="348" spans="1:6" x14ac:dyDescent="0.2">
      <c r="A348" s="7" t="s">
        <v>893</v>
      </c>
      <c r="D348" s="7" t="s">
        <v>187</v>
      </c>
      <c r="E348" s="1" t="s">
        <v>5</v>
      </c>
      <c r="F348" s="1">
        <v>1</v>
      </c>
    </row>
    <row r="349" spans="1:6" x14ac:dyDescent="0.2">
      <c r="A349" s="7" t="s">
        <v>894</v>
      </c>
      <c r="D349" s="7" t="s">
        <v>188</v>
      </c>
      <c r="E349" s="1" t="s">
        <v>5</v>
      </c>
      <c r="F349" s="1">
        <v>1</v>
      </c>
    </row>
    <row r="350" spans="1:6" x14ac:dyDescent="0.2">
      <c r="A350" s="7" t="s">
        <v>895</v>
      </c>
      <c r="D350" s="7" t="s">
        <v>189</v>
      </c>
      <c r="E350" s="1" t="s">
        <v>5</v>
      </c>
      <c r="F350" s="1">
        <v>1</v>
      </c>
    </row>
    <row r="351" spans="1:6" x14ac:dyDescent="0.2">
      <c r="A351" s="7" t="s">
        <v>896</v>
      </c>
      <c r="D351" s="7" t="s">
        <v>190</v>
      </c>
      <c r="E351" s="1" t="s">
        <v>5</v>
      </c>
      <c r="F351" s="1">
        <v>1</v>
      </c>
    </row>
    <row r="352" spans="1:6" x14ac:dyDescent="0.2">
      <c r="A352" s="7" t="s">
        <v>897</v>
      </c>
      <c r="D352" s="7" t="s">
        <v>191</v>
      </c>
      <c r="E352" s="1" t="s">
        <v>5</v>
      </c>
      <c r="F352" s="1">
        <v>1</v>
      </c>
    </row>
    <row r="353" spans="1:200" x14ac:dyDescent="0.2">
      <c r="A353" s="7" t="s">
        <v>898</v>
      </c>
      <c r="D353" s="7" t="s">
        <v>192</v>
      </c>
      <c r="E353" s="1" t="s">
        <v>5</v>
      </c>
      <c r="F353" s="1">
        <v>1</v>
      </c>
    </row>
    <row r="354" spans="1:200" x14ac:dyDescent="0.2">
      <c r="A354" s="7" t="s">
        <v>899</v>
      </c>
      <c r="D354" s="7" t="s">
        <v>193</v>
      </c>
      <c r="E354" s="1" t="s">
        <v>5</v>
      </c>
      <c r="F354" s="1">
        <v>1</v>
      </c>
    </row>
    <row r="355" spans="1:200" x14ac:dyDescent="0.2">
      <c r="A355" s="7" t="s">
        <v>900</v>
      </c>
      <c r="D355" s="7" t="s">
        <v>194</v>
      </c>
      <c r="E355" s="1" t="s">
        <v>5</v>
      </c>
      <c r="F355" s="1">
        <v>1</v>
      </c>
    </row>
    <row r="356" spans="1:200" x14ac:dyDescent="0.2">
      <c r="A356" s="7" t="s">
        <v>901</v>
      </c>
      <c r="D356" s="7" t="s">
        <v>196</v>
      </c>
      <c r="E356" s="1" t="s">
        <v>5</v>
      </c>
      <c r="F356" s="1">
        <v>1</v>
      </c>
    </row>
    <row r="357" spans="1:200" x14ac:dyDescent="0.2">
      <c r="A357" s="7" t="s">
        <v>902</v>
      </c>
      <c r="D357" s="7" t="s">
        <v>197</v>
      </c>
      <c r="E357" s="1" t="s">
        <v>5</v>
      </c>
      <c r="F357" s="1">
        <v>1</v>
      </c>
    </row>
    <row r="358" spans="1:200" x14ac:dyDescent="0.2">
      <c r="A358" s="7" t="s">
        <v>903</v>
      </c>
      <c r="D358" s="7" t="s">
        <v>198</v>
      </c>
      <c r="E358" s="1" t="s">
        <v>5</v>
      </c>
      <c r="F358" s="1">
        <v>1</v>
      </c>
    </row>
    <row r="359" spans="1:200" ht="14.4" x14ac:dyDescent="0.3">
      <c r="A359" s="7" t="s">
        <v>904</v>
      </c>
      <c r="D359" s="7" t="s">
        <v>199</v>
      </c>
      <c r="E359" s="1" t="s">
        <v>5</v>
      </c>
      <c r="F359" s="1">
        <v>1</v>
      </c>
      <c r="GR359"/>
    </row>
    <row r="360" spans="1:200" x14ac:dyDescent="0.2">
      <c r="A360" s="7" t="s">
        <v>905</v>
      </c>
      <c r="D360" s="7" t="s">
        <v>200</v>
      </c>
      <c r="E360" s="1" t="s">
        <v>5</v>
      </c>
      <c r="F360" s="1">
        <v>1</v>
      </c>
      <c r="BW360" s="8"/>
      <c r="BY360" s="8"/>
      <c r="CP360" s="8"/>
    </row>
    <row r="361" spans="1:200" x14ac:dyDescent="0.2">
      <c r="A361" s="7" t="s">
        <v>906</v>
      </c>
      <c r="D361" s="7" t="s">
        <v>201</v>
      </c>
      <c r="E361" s="1" t="s">
        <v>5</v>
      </c>
      <c r="F361" s="1">
        <v>1</v>
      </c>
      <c r="BW361" s="8"/>
      <c r="BY361" s="8"/>
      <c r="CP361" s="8"/>
    </row>
    <row r="362" spans="1:200" x14ac:dyDescent="0.2">
      <c r="A362" s="7" t="s">
        <v>907</v>
      </c>
      <c r="D362" s="7" t="s">
        <v>202</v>
      </c>
      <c r="E362" s="1" t="s">
        <v>5</v>
      </c>
      <c r="F362" s="1">
        <v>1</v>
      </c>
      <c r="BW362" s="8"/>
      <c r="BY362" s="8"/>
      <c r="CP362" s="8"/>
    </row>
    <row r="363" spans="1:200" x14ac:dyDescent="0.2">
      <c r="A363" s="7" t="s">
        <v>908</v>
      </c>
      <c r="D363" s="7" t="s">
        <v>203</v>
      </c>
      <c r="E363" s="1" t="s">
        <v>5</v>
      </c>
      <c r="F363" s="1">
        <v>1</v>
      </c>
      <c r="BW363" s="8"/>
      <c r="BY363" s="8"/>
      <c r="CP363" s="8"/>
    </row>
    <row r="364" spans="1:200" x14ac:dyDescent="0.2">
      <c r="A364" s="7" t="s">
        <v>909</v>
      </c>
      <c r="D364" s="7" t="s">
        <v>204</v>
      </c>
      <c r="E364" s="1" t="s">
        <v>5</v>
      </c>
      <c r="F364" s="1">
        <v>1</v>
      </c>
      <c r="BW364" s="8"/>
      <c r="BY364" s="8"/>
      <c r="CP364" s="8"/>
    </row>
    <row r="365" spans="1:200" x14ac:dyDescent="0.2">
      <c r="A365" s="7" t="s">
        <v>910</v>
      </c>
      <c r="D365" s="7" t="s">
        <v>205</v>
      </c>
      <c r="E365" s="1" t="s">
        <v>5</v>
      </c>
      <c r="F365" s="1">
        <v>1</v>
      </c>
      <c r="BW365" s="8"/>
      <c r="BY365" s="8"/>
      <c r="CP365" s="8"/>
    </row>
    <row r="366" spans="1:200" x14ac:dyDescent="0.2">
      <c r="A366" s="7" t="s">
        <v>911</v>
      </c>
      <c r="D366" s="7" t="s">
        <v>206</v>
      </c>
      <c r="E366" s="1" t="s">
        <v>5</v>
      </c>
      <c r="F366" s="1">
        <v>1</v>
      </c>
      <c r="BW366" s="8"/>
      <c r="BY366" s="8"/>
      <c r="CP366" s="8"/>
    </row>
    <row r="367" spans="1:200" x14ac:dyDescent="0.2">
      <c r="A367" s="7" t="s">
        <v>912</v>
      </c>
      <c r="D367" s="7" t="s">
        <v>207</v>
      </c>
      <c r="E367" s="1" t="s">
        <v>5</v>
      </c>
      <c r="F367" s="1">
        <v>1</v>
      </c>
      <c r="BW367" s="8"/>
      <c r="BY367" s="8"/>
      <c r="CP367" s="8"/>
    </row>
    <row r="368" spans="1:200" x14ac:dyDescent="0.2">
      <c r="A368" s="7" t="s">
        <v>913</v>
      </c>
      <c r="D368" s="7" t="s">
        <v>208</v>
      </c>
      <c r="E368" s="1" t="s">
        <v>5</v>
      </c>
      <c r="F368" s="1">
        <v>1</v>
      </c>
      <c r="BW368" s="8"/>
      <c r="BY368" s="8"/>
      <c r="CP368" s="8"/>
    </row>
    <row r="369" spans="1:202" x14ac:dyDescent="0.2">
      <c r="A369" s="7" t="s">
        <v>914</v>
      </c>
      <c r="D369" s="7" t="s">
        <v>209</v>
      </c>
      <c r="E369" s="1" t="s">
        <v>5</v>
      </c>
      <c r="F369" s="1">
        <v>1</v>
      </c>
      <c r="BW369" s="8"/>
      <c r="BY369" s="8"/>
      <c r="CP369" s="8"/>
    </row>
    <row r="370" spans="1:202" x14ac:dyDescent="0.2">
      <c r="A370" s="7" t="s">
        <v>915</v>
      </c>
      <c r="D370" s="7" t="s">
        <v>210</v>
      </c>
      <c r="E370" s="1" t="s">
        <v>5</v>
      </c>
      <c r="F370" s="1">
        <v>1</v>
      </c>
      <c r="BW370" s="8"/>
      <c r="BY370" s="8"/>
      <c r="CP370" s="8"/>
    </row>
    <row r="371" spans="1:202" x14ac:dyDescent="0.2">
      <c r="A371" s="7" t="s">
        <v>916</v>
      </c>
      <c r="D371" s="7" t="s">
        <v>211</v>
      </c>
      <c r="E371" s="1" t="s">
        <v>5</v>
      </c>
      <c r="F371" s="1">
        <v>1</v>
      </c>
      <c r="BW371" s="8"/>
      <c r="BY371" s="8"/>
      <c r="CP371" s="8"/>
    </row>
    <row r="372" spans="1:202" x14ac:dyDescent="0.2">
      <c r="A372" s="7" t="s">
        <v>917</v>
      </c>
      <c r="D372" s="7" t="s">
        <v>212</v>
      </c>
      <c r="S372" s="1">
        <f>IF(Regions_master[[#This Row],[Forecaster]]=Regions_master[[#Headers],[Zhenqian]],1,0)</f>
        <v>0</v>
      </c>
      <c r="T372" s="1">
        <f>IF(Regions_master[[#This Row],[Forecaster]]=Regions_master[[#Headers],[Berna]],1,0)</f>
        <v>0</v>
      </c>
      <c r="U372" s="1">
        <f>IF(Regions_master[[#This Row],[Forecaster]]=Regions_master[[#Headers],[Julian]],1,0)</f>
        <v>0</v>
      </c>
      <c r="V372" s="1">
        <f>IF(Regions_master[[#This Row],[Forecaster]]=Regions_master[[#Headers],[Katarzyna]],1,0)</f>
        <v>0</v>
      </c>
      <c r="BW372" s="8"/>
      <c r="BY372" s="8"/>
      <c r="CP372" s="8"/>
      <c r="GT372" s="1">
        <f>BE372+BF372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Zhenqian Huang</dc:creator>
  <cp:lastModifiedBy>Zhenqian Huang</cp:lastModifiedBy>
  <dcterms:created xsi:type="dcterms:W3CDTF">2025-09-05T14:24:53Z</dcterms:created>
  <dcterms:modified xsi:type="dcterms:W3CDTF">2025-09-05T14:34:24Z</dcterms:modified>
</cp:coreProperties>
</file>